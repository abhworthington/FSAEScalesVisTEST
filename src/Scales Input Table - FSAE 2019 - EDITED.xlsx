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SAE Projects\FSAE Scales ShinyApp\"/>
    </mc:Choice>
  </mc:AlternateContent>
  <xr:revisionPtr revIDLastSave="0" documentId="13_ncr:1_{1921D7D1-E2AB-47EE-895D-52BA1BD46CA0}" xr6:coauthVersionLast="47" xr6:coauthVersionMax="47" xr10:uidLastSave="{00000000-0000-0000-0000-000000000000}"/>
  <bookViews>
    <workbookView xWindow="-120" yWindow="-120" windowWidth="29040" windowHeight="15840" firstSheet="1" activeTab="8" xr2:uid="{00000000-000D-0000-FFFF-FFFF00000000}"/>
  </bookViews>
  <sheets>
    <sheet name="Summary Sheet" sheetId="8" r:id="rId1"/>
    <sheet name="Scales Input Table" sheetId="1" r:id="rId2"/>
    <sheet name="Label Creation" sheetId="4" r:id="rId3"/>
    <sheet name="Design Schedule" sheetId="6" r:id="rId4"/>
    <sheet name="Dropdown sheet - DO NOT EDIT" sheetId="2" state="hidden" r:id="rId5"/>
    <sheet name="LOOKUP TABLE - DO NOT EDIT" sheetId="3" r:id="rId6"/>
    <sheet name="Summary Statistics and Graphs" sheetId="5" state="hidden" r:id="rId7"/>
    <sheet name="Sheet4" sheetId="10" r:id="rId8"/>
    <sheet name="Export Sheet" sheetId="11" r:id="rId9"/>
  </sheets>
  <definedNames>
    <definedName name="Scales_Input_Table">'Scales Input Table'!$A$1:$T$1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1" l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3" i="11"/>
  <c r="C2" i="11"/>
  <c r="I10" i="10"/>
  <c r="G10" i="10"/>
  <c r="I5" i="10"/>
  <c r="G5" i="10"/>
  <c r="G114" i="10"/>
  <c r="I2" i="10"/>
  <c r="I108" i="10" s="1"/>
  <c r="G2" i="10"/>
  <c r="G108" i="10" s="1"/>
  <c r="I3" i="10"/>
  <c r="G3" i="10"/>
  <c r="A3" i="10"/>
  <c r="L127" i="10"/>
  <c r="L126" i="10"/>
  <c r="L125" i="10"/>
  <c r="L124" i="10"/>
  <c r="L123" i="10"/>
  <c r="L122" i="10"/>
  <c r="L63" i="10"/>
  <c r="L78" i="10"/>
  <c r="L113" i="10"/>
  <c r="L71" i="10"/>
  <c r="L74" i="10"/>
  <c r="L68" i="10"/>
  <c r="L31" i="10"/>
  <c r="L91" i="10"/>
  <c r="L121" i="10"/>
  <c r="L30" i="10"/>
  <c r="L79" i="10"/>
  <c r="L94" i="10"/>
  <c r="L120" i="10"/>
  <c r="L55" i="10"/>
  <c r="L112" i="10"/>
  <c r="L16" i="10"/>
  <c r="L119" i="10"/>
  <c r="L101" i="10"/>
  <c r="L70" i="10"/>
  <c r="L67" i="10"/>
  <c r="L44" i="10"/>
  <c r="L9" i="10"/>
  <c r="L28" i="10"/>
  <c r="L77" i="10"/>
  <c r="L38" i="10"/>
  <c r="L104" i="10"/>
  <c r="L66" i="10"/>
  <c r="L88" i="10"/>
  <c r="L24" i="10"/>
  <c r="L106" i="10"/>
  <c r="L105" i="10"/>
  <c r="L118" i="10"/>
  <c r="L54" i="10"/>
  <c r="L69" i="10"/>
  <c r="L73" i="10"/>
  <c r="L86" i="10"/>
  <c r="L23" i="10"/>
  <c r="L11" i="10"/>
  <c r="L46" i="10"/>
  <c r="L42" i="10"/>
  <c r="L27" i="10"/>
  <c r="L14" i="10"/>
  <c r="L109" i="10"/>
  <c r="L52" i="10"/>
  <c r="L61" i="10"/>
  <c r="L19" i="10"/>
  <c r="L43" i="10"/>
  <c r="L57" i="10"/>
  <c r="L82" i="10"/>
  <c r="L111" i="10"/>
  <c r="L90" i="10"/>
  <c r="L33" i="10"/>
  <c r="L37" i="10"/>
  <c r="L85" i="10"/>
  <c r="L87" i="10"/>
  <c r="L100" i="10"/>
  <c r="L53" i="10"/>
  <c r="L26" i="10"/>
  <c r="L51" i="10"/>
  <c r="L62" i="10"/>
  <c r="L7" i="10"/>
  <c r="L81" i="10"/>
  <c r="L36" i="10"/>
  <c r="L50" i="10"/>
  <c r="L117" i="10"/>
  <c r="L22" i="10"/>
  <c r="L76" i="10"/>
  <c r="L15" i="10"/>
  <c r="L95" i="10"/>
  <c r="L84" i="10"/>
  <c r="L93" i="10"/>
  <c r="L49" i="10"/>
  <c r="L98" i="10"/>
  <c r="L116" i="10"/>
  <c r="L56" i="10"/>
  <c r="L41" i="10"/>
  <c r="L107" i="10"/>
  <c r="L18" i="10"/>
  <c r="L97" i="10"/>
  <c r="L102" i="10"/>
  <c r="L89" i="10"/>
  <c r="L80" i="10"/>
  <c r="L45" i="10"/>
  <c r="L32" i="10"/>
  <c r="L64" i="10"/>
  <c r="L103" i="10"/>
  <c r="L75" i="10"/>
  <c r="L4" i="10"/>
  <c r="L110" i="10"/>
  <c r="L47" i="10"/>
  <c r="L29" i="10"/>
  <c r="L59" i="10"/>
  <c r="L115" i="10"/>
  <c r="L21" i="10"/>
  <c r="L40" i="10"/>
  <c r="L83" i="10"/>
  <c r="L99" i="10"/>
  <c r="L72" i="10"/>
  <c r="L48" i="10"/>
  <c r="L96" i="10"/>
  <c r="L65" i="10"/>
  <c r="L25" i="10"/>
  <c r="L58" i="10"/>
  <c r="L35" i="10"/>
  <c r="L34" i="10"/>
  <c r="L39" i="10"/>
  <c r="L13" i="10"/>
  <c r="L12" i="10"/>
  <c r="L17" i="10"/>
  <c r="L6" i="10"/>
  <c r="L8" i="10"/>
  <c r="L20" i="10"/>
  <c r="S37" i="1"/>
  <c r="S25" i="1"/>
  <c r="Y103" i="1"/>
  <c r="X103" i="1"/>
  <c r="W103" i="1"/>
  <c r="V103" i="1"/>
  <c r="T103" i="1"/>
  <c r="T102" i="1"/>
  <c r="V102" i="1"/>
  <c r="W102" i="1"/>
  <c r="X102" i="1"/>
  <c r="Y102" i="1"/>
  <c r="L103" i="1"/>
  <c r="U103" i="1" s="1"/>
  <c r="I103" i="3"/>
  <c r="H103" i="3"/>
  <c r="G103" i="3"/>
  <c r="F103" i="3"/>
  <c r="E103" i="3"/>
  <c r="D103" i="3"/>
  <c r="C103" i="3"/>
  <c r="I114" i="10" l="1"/>
  <c r="G60" i="10"/>
  <c r="I60" i="10"/>
  <c r="G123" i="6"/>
  <c r="S104" i="1"/>
  <c r="S114" i="1" l="1"/>
  <c r="S43" i="1" l="1"/>
  <c r="S9" i="1"/>
  <c r="S44" i="1"/>
  <c r="S54" i="1"/>
  <c r="S113" i="1"/>
  <c r="S91" i="1"/>
  <c r="S73" i="1" l="1"/>
  <c r="S84" i="1"/>
  <c r="S101" i="1"/>
  <c r="S50" i="1"/>
  <c r="S86" i="1"/>
  <c r="S55" i="1"/>
  <c r="S99" i="1"/>
  <c r="S53" i="1"/>
  <c r="S94" i="1"/>
  <c r="S3" i="1"/>
  <c r="S65" i="1"/>
  <c r="L5" i="1"/>
  <c r="S26" i="1"/>
  <c r="S47" i="1"/>
  <c r="S22" i="1"/>
  <c r="S17" i="1"/>
  <c r="S90" i="1"/>
  <c r="I120" i="3"/>
  <c r="H120" i="3"/>
  <c r="G120" i="3"/>
  <c r="B120" i="3"/>
  <c r="A120" i="3"/>
  <c r="I119" i="3"/>
  <c r="H119" i="3"/>
  <c r="G119" i="3"/>
  <c r="B119" i="3"/>
  <c r="A119" i="3"/>
  <c r="I118" i="3"/>
  <c r="H118" i="3"/>
  <c r="G118" i="3"/>
  <c r="B118" i="3"/>
  <c r="A118" i="3"/>
  <c r="I117" i="3"/>
  <c r="H117" i="3"/>
  <c r="G117" i="3"/>
  <c r="B117" i="3"/>
  <c r="A117" i="3"/>
  <c r="I116" i="3"/>
  <c r="H116" i="3"/>
  <c r="G116" i="3"/>
  <c r="B116" i="3"/>
  <c r="A116" i="3"/>
  <c r="I115" i="3"/>
  <c r="H115" i="3"/>
  <c r="G115" i="3"/>
  <c r="B115" i="3"/>
  <c r="A115" i="3"/>
  <c r="I114" i="3"/>
  <c r="H114" i="3"/>
  <c r="G114" i="3"/>
  <c r="B114" i="3"/>
  <c r="A114" i="3"/>
  <c r="I113" i="3"/>
  <c r="H113" i="3"/>
  <c r="G113" i="3"/>
  <c r="B113" i="3"/>
  <c r="A113" i="3"/>
  <c r="I112" i="3"/>
  <c r="H112" i="3"/>
  <c r="G112" i="3"/>
  <c r="B112" i="3"/>
  <c r="A112" i="3"/>
  <c r="I111" i="3"/>
  <c r="H111" i="3"/>
  <c r="G111" i="3"/>
  <c r="B111" i="3"/>
  <c r="A111" i="3"/>
  <c r="I110" i="3"/>
  <c r="H110" i="3"/>
  <c r="G110" i="3"/>
  <c r="B110" i="3"/>
  <c r="A110" i="3"/>
  <c r="I109" i="3"/>
  <c r="H109" i="3"/>
  <c r="G109" i="3"/>
  <c r="B109" i="3"/>
  <c r="A109" i="3"/>
  <c r="I108" i="3"/>
  <c r="H108" i="3"/>
  <c r="G108" i="3"/>
  <c r="B108" i="3"/>
  <c r="A108" i="3"/>
  <c r="I107" i="3"/>
  <c r="H107" i="3"/>
  <c r="G107" i="3"/>
  <c r="B107" i="3"/>
  <c r="A107" i="3"/>
  <c r="I106" i="3"/>
  <c r="H106" i="3"/>
  <c r="G106" i="3"/>
  <c r="B106" i="3"/>
  <c r="A106" i="3"/>
  <c r="I105" i="3"/>
  <c r="H105" i="3"/>
  <c r="G105" i="3"/>
  <c r="B105" i="3"/>
  <c r="A105" i="3"/>
  <c r="I104" i="3"/>
  <c r="H104" i="3"/>
  <c r="G104" i="3"/>
  <c r="B104" i="3"/>
  <c r="A104" i="3"/>
  <c r="B103" i="3"/>
  <c r="A103" i="3"/>
  <c r="I102" i="3"/>
  <c r="H102" i="3"/>
  <c r="G102" i="3"/>
  <c r="B102" i="3"/>
  <c r="A102" i="3"/>
  <c r="I101" i="3"/>
  <c r="H101" i="3"/>
  <c r="G101" i="3"/>
  <c r="B101" i="3"/>
  <c r="A101" i="3"/>
  <c r="I100" i="3"/>
  <c r="H100" i="3"/>
  <c r="G100" i="3"/>
  <c r="B100" i="3"/>
  <c r="A100" i="3"/>
  <c r="I99" i="3"/>
  <c r="H99" i="3"/>
  <c r="G99" i="3"/>
  <c r="B99" i="3"/>
  <c r="A99" i="3"/>
  <c r="I98" i="3"/>
  <c r="H98" i="3"/>
  <c r="G98" i="3"/>
  <c r="B98" i="3"/>
  <c r="A98" i="3"/>
  <c r="I97" i="3"/>
  <c r="H97" i="3"/>
  <c r="G97" i="3"/>
  <c r="B97" i="3"/>
  <c r="A97" i="3"/>
  <c r="I96" i="3"/>
  <c r="H96" i="3"/>
  <c r="G96" i="3"/>
  <c r="B96" i="3"/>
  <c r="A96" i="3"/>
  <c r="I95" i="3"/>
  <c r="H95" i="3"/>
  <c r="G95" i="3"/>
  <c r="B95" i="3"/>
  <c r="A95" i="3"/>
  <c r="I94" i="3"/>
  <c r="H94" i="3"/>
  <c r="G94" i="3"/>
  <c r="B94" i="3"/>
  <c r="A94" i="3"/>
  <c r="I93" i="3"/>
  <c r="H93" i="3"/>
  <c r="G93" i="3"/>
  <c r="B93" i="3"/>
  <c r="A93" i="3"/>
  <c r="I92" i="3"/>
  <c r="H92" i="3"/>
  <c r="G92" i="3"/>
  <c r="B92" i="3"/>
  <c r="A92" i="3"/>
  <c r="I91" i="3"/>
  <c r="H91" i="3"/>
  <c r="G91" i="3"/>
  <c r="B91" i="3"/>
  <c r="A91" i="3"/>
  <c r="I90" i="3"/>
  <c r="H90" i="3"/>
  <c r="G90" i="3"/>
  <c r="B90" i="3"/>
  <c r="A90" i="3"/>
  <c r="I89" i="3"/>
  <c r="H89" i="3"/>
  <c r="G89" i="3"/>
  <c r="B89" i="3"/>
  <c r="A89" i="3"/>
  <c r="I88" i="3"/>
  <c r="H88" i="3"/>
  <c r="G88" i="3"/>
  <c r="B88" i="3"/>
  <c r="A88" i="3"/>
  <c r="I87" i="3"/>
  <c r="H87" i="3"/>
  <c r="G87" i="3"/>
  <c r="B87" i="3"/>
  <c r="A87" i="3"/>
  <c r="I86" i="3"/>
  <c r="H86" i="3"/>
  <c r="G86" i="3"/>
  <c r="B86" i="3"/>
  <c r="A86" i="3"/>
  <c r="I85" i="3"/>
  <c r="H85" i="3"/>
  <c r="G85" i="3"/>
  <c r="B85" i="3"/>
  <c r="A85" i="3"/>
  <c r="I84" i="3"/>
  <c r="H84" i="3"/>
  <c r="G84" i="3"/>
  <c r="B84" i="3"/>
  <c r="A84" i="3"/>
  <c r="I83" i="3"/>
  <c r="H83" i="3"/>
  <c r="G83" i="3"/>
  <c r="B83" i="3"/>
  <c r="A83" i="3"/>
  <c r="I82" i="3"/>
  <c r="H82" i="3"/>
  <c r="G82" i="3"/>
  <c r="B82" i="3"/>
  <c r="A82" i="3"/>
  <c r="I81" i="3"/>
  <c r="H81" i="3"/>
  <c r="G81" i="3"/>
  <c r="B81" i="3"/>
  <c r="A81" i="3"/>
  <c r="I80" i="3"/>
  <c r="H80" i="3"/>
  <c r="G80" i="3"/>
  <c r="B80" i="3"/>
  <c r="A80" i="3"/>
  <c r="I79" i="3"/>
  <c r="H79" i="3"/>
  <c r="G79" i="3"/>
  <c r="B79" i="3"/>
  <c r="A79" i="3"/>
  <c r="I78" i="3"/>
  <c r="H78" i="3"/>
  <c r="G78" i="3"/>
  <c r="B78" i="3"/>
  <c r="A78" i="3"/>
  <c r="I77" i="3"/>
  <c r="H77" i="3"/>
  <c r="G77" i="3"/>
  <c r="B77" i="3"/>
  <c r="A77" i="3"/>
  <c r="I76" i="3"/>
  <c r="H76" i="3"/>
  <c r="G76" i="3"/>
  <c r="B76" i="3"/>
  <c r="A76" i="3"/>
  <c r="I75" i="3"/>
  <c r="H75" i="3"/>
  <c r="G75" i="3"/>
  <c r="B75" i="3"/>
  <c r="A75" i="3"/>
  <c r="I74" i="3"/>
  <c r="H74" i="3"/>
  <c r="G74" i="3"/>
  <c r="B74" i="3"/>
  <c r="A74" i="3"/>
  <c r="I73" i="3"/>
  <c r="H73" i="3"/>
  <c r="G73" i="3"/>
  <c r="B73" i="3"/>
  <c r="A73" i="3"/>
  <c r="I72" i="3"/>
  <c r="H72" i="3"/>
  <c r="G72" i="3"/>
  <c r="B72" i="3"/>
  <c r="A72" i="3"/>
  <c r="I71" i="3"/>
  <c r="H71" i="3"/>
  <c r="G71" i="3"/>
  <c r="B71" i="3"/>
  <c r="A71" i="3"/>
  <c r="I70" i="3"/>
  <c r="H70" i="3"/>
  <c r="G70" i="3"/>
  <c r="B70" i="3"/>
  <c r="A70" i="3"/>
  <c r="I69" i="3"/>
  <c r="H69" i="3"/>
  <c r="G69" i="3"/>
  <c r="B69" i="3"/>
  <c r="A69" i="3"/>
  <c r="I68" i="3"/>
  <c r="H68" i="3"/>
  <c r="G68" i="3"/>
  <c r="B68" i="3"/>
  <c r="A68" i="3"/>
  <c r="I67" i="3"/>
  <c r="H67" i="3"/>
  <c r="G67" i="3"/>
  <c r="B67" i="3"/>
  <c r="A67" i="3"/>
  <c r="I66" i="3"/>
  <c r="H66" i="3"/>
  <c r="G66" i="3"/>
  <c r="B66" i="3"/>
  <c r="A66" i="3"/>
  <c r="I65" i="3"/>
  <c r="H65" i="3"/>
  <c r="G65" i="3"/>
  <c r="B65" i="3"/>
  <c r="A65" i="3"/>
  <c r="I64" i="3"/>
  <c r="H64" i="3"/>
  <c r="G64" i="3"/>
  <c r="B64" i="3"/>
  <c r="A64" i="3"/>
  <c r="I63" i="3"/>
  <c r="H63" i="3"/>
  <c r="G63" i="3"/>
  <c r="B63" i="3"/>
  <c r="A63" i="3"/>
  <c r="I62" i="3"/>
  <c r="H62" i="3"/>
  <c r="G62" i="3"/>
  <c r="B62" i="3"/>
  <c r="A62" i="3"/>
  <c r="I61" i="3"/>
  <c r="H61" i="3"/>
  <c r="G61" i="3"/>
  <c r="B61" i="3"/>
  <c r="A61" i="3"/>
  <c r="I60" i="3"/>
  <c r="H60" i="3"/>
  <c r="G60" i="3"/>
  <c r="B60" i="3"/>
  <c r="A60" i="3"/>
  <c r="I59" i="3"/>
  <c r="H59" i="3"/>
  <c r="G59" i="3"/>
  <c r="B59" i="3"/>
  <c r="A59" i="3"/>
  <c r="I58" i="3"/>
  <c r="H58" i="3"/>
  <c r="G58" i="3"/>
  <c r="B58" i="3"/>
  <c r="A58" i="3"/>
  <c r="I57" i="3"/>
  <c r="H57" i="3"/>
  <c r="G57" i="3"/>
  <c r="B57" i="3"/>
  <c r="A57" i="3"/>
  <c r="I56" i="3"/>
  <c r="H56" i="3"/>
  <c r="G56" i="3"/>
  <c r="B56" i="3"/>
  <c r="A56" i="3"/>
  <c r="I55" i="3"/>
  <c r="H55" i="3"/>
  <c r="G55" i="3"/>
  <c r="B55" i="3"/>
  <c r="A55" i="3"/>
  <c r="I54" i="3"/>
  <c r="H54" i="3"/>
  <c r="G54" i="3"/>
  <c r="B54" i="3"/>
  <c r="A54" i="3"/>
  <c r="I53" i="3"/>
  <c r="H53" i="3"/>
  <c r="G53" i="3"/>
  <c r="B53" i="3"/>
  <c r="A53" i="3"/>
  <c r="I52" i="3"/>
  <c r="H52" i="3"/>
  <c r="G52" i="3"/>
  <c r="B52" i="3"/>
  <c r="A52" i="3"/>
  <c r="I51" i="3"/>
  <c r="H51" i="3"/>
  <c r="G51" i="3"/>
  <c r="B51" i="3"/>
  <c r="A51" i="3"/>
  <c r="I50" i="3"/>
  <c r="H50" i="3"/>
  <c r="G50" i="3"/>
  <c r="B50" i="3"/>
  <c r="A50" i="3"/>
  <c r="I49" i="3"/>
  <c r="H49" i="3"/>
  <c r="G49" i="3"/>
  <c r="B49" i="3"/>
  <c r="A49" i="3"/>
  <c r="I48" i="3"/>
  <c r="H48" i="3"/>
  <c r="G48" i="3"/>
  <c r="B48" i="3"/>
  <c r="A48" i="3"/>
  <c r="I47" i="3"/>
  <c r="H47" i="3"/>
  <c r="G47" i="3"/>
  <c r="B47" i="3"/>
  <c r="A47" i="3"/>
  <c r="I46" i="3"/>
  <c r="H46" i="3"/>
  <c r="G46" i="3"/>
  <c r="B46" i="3"/>
  <c r="A46" i="3"/>
  <c r="I45" i="3"/>
  <c r="H45" i="3"/>
  <c r="G45" i="3"/>
  <c r="B45" i="3"/>
  <c r="A45" i="3"/>
  <c r="I44" i="3"/>
  <c r="H44" i="3"/>
  <c r="G44" i="3"/>
  <c r="B44" i="3"/>
  <c r="A44" i="3"/>
  <c r="I43" i="3"/>
  <c r="H43" i="3"/>
  <c r="G43" i="3"/>
  <c r="B43" i="3"/>
  <c r="A43" i="3"/>
  <c r="I42" i="3"/>
  <c r="H42" i="3"/>
  <c r="G42" i="3"/>
  <c r="B42" i="3"/>
  <c r="A42" i="3"/>
  <c r="I41" i="3"/>
  <c r="H41" i="3"/>
  <c r="G41" i="3"/>
  <c r="B41" i="3"/>
  <c r="A41" i="3"/>
  <c r="I40" i="3"/>
  <c r="H40" i="3"/>
  <c r="G40" i="3"/>
  <c r="B40" i="3"/>
  <c r="A40" i="3"/>
  <c r="I39" i="3"/>
  <c r="H39" i="3"/>
  <c r="G39" i="3"/>
  <c r="B39" i="3"/>
  <c r="A39" i="3"/>
  <c r="I38" i="3"/>
  <c r="H38" i="3"/>
  <c r="G38" i="3"/>
  <c r="B38" i="3"/>
  <c r="A38" i="3"/>
  <c r="I37" i="3"/>
  <c r="H37" i="3"/>
  <c r="G37" i="3"/>
  <c r="B37" i="3"/>
  <c r="A37" i="3"/>
  <c r="I36" i="3"/>
  <c r="H36" i="3"/>
  <c r="G36" i="3"/>
  <c r="B36" i="3"/>
  <c r="A36" i="3"/>
  <c r="I35" i="3"/>
  <c r="H35" i="3"/>
  <c r="G35" i="3"/>
  <c r="B35" i="3"/>
  <c r="A35" i="3"/>
  <c r="I34" i="3"/>
  <c r="H34" i="3"/>
  <c r="G34" i="3"/>
  <c r="B34" i="3"/>
  <c r="A34" i="3"/>
  <c r="I33" i="3"/>
  <c r="H33" i="3"/>
  <c r="G33" i="3"/>
  <c r="B33" i="3"/>
  <c r="A33" i="3"/>
  <c r="I32" i="3"/>
  <c r="H32" i="3"/>
  <c r="G32" i="3"/>
  <c r="B32" i="3"/>
  <c r="A32" i="3"/>
  <c r="I31" i="3"/>
  <c r="H31" i="3"/>
  <c r="G31" i="3"/>
  <c r="B31" i="3"/>
  <c r="A31" i="3"/>
  <c r="I30" i="3"/>
  <c r="H30" i="3"/>
  <c r="G30" i="3"/>
  <c r="B30" i="3"/>
  <c r="A30" i="3"/>
  <c r="I29" i="3"/>
  <c r="H29" i="3"/>
  <c r="G29" i="3"/>
  <c r="B29" i="3"/>
  <c r="A29" i="3"/>
  <c r="I28" i="3"/>
  <c r="H28" i="3"/>
  <c r="G28" i="3"/>
  <c r="B28" i="3"/>
  <c r="A28" i="3"/>
  <c r="I27" i="3"/>
  <c r="H27" i="3"/>
  <c r="G27" i="3"/>
  <c r="B27" i="3"/>
  <c r="A27" i="3"/>
  <c r="I26" i="3"/>
  <c r="H26" i="3"/>
  <c r="G26" i="3"/>
  <c r="B26" i="3"/>
  <c r="A26" i="3"/>
  <c r="I25" i="3"/>
  <c r="H25" i="3"/>
  <c r="G25" i="3"/>
  <c r="B25" i="3"/>
  <c r="A25" i="3"/>
  <c r="I24" i="3"/>
  <c r="H24" i="3"/>
  <c r="G24" i="3"/>
  <c r="B24" i="3"/>
  <c r="A24" i="3"/>
  <c r="I23" i="3"/>
  <c r="H23" i="3"/>
  <c r="G23" i="3"/>
  <c r="B23" i="3"/>
  <c r="A23" i="3"/>
  <c r="I22" i="3"/>
  <c r="H22" i="3"/>
  <c r="G22" i="3"/>
  <c r="B22" i="3"/>
  <c r="A22" i="3"/>
  <c r="I21" i="3"/>
  <c r="H21" i="3"/>
  <c r="G21" i="3"/>
  <c r="B21" i="3"/>
  <c r="A21" i="3"/>
  <c r="I20" i="3"/>
  <c r="H20" i="3"/>
  <c r="G20" i="3"/>
  <c r="B20" i="3"/>
  <c r="A20" i="3"/>
  <c r="I19" i="3"/>
  <c r="H19" i="3"/>
  <c r="G19" i="3"/>
  <c r="B19" i="3"/>
  <c r="A19" i="3"/>
  <c r="I18" i="3"/>
  <c r="H18" i="3"/>
  <c r="G18" i="3"/>
  <c r="B18" i="3"/>
  <c r="A18" i="3"/>
  <c r="I17" i="3"/>
  <c r="H17" i="3"/>
  <c r="G17" i="3"/>
  <c r="B17" i="3"/>
  <c r="A17" i="3"/>
  <c r="I16" i="3"/>
  <c r="H16" i="3"/>
  <c r="G16" i="3"/>
  <c r="B16" i="3"/>
  <c r="A16" i="3"/>
  <c r="I15" i="3"/>
  <c r="H15" i="3"/>
  <c r="G15" i="3"/>
  <c r="B15" i="3"/>
  <c r="A15" i="3"/>
  <c r="I14" i="3"/>
  <c r="H14" i="3"/>
  <c r="G14" i="3"/>
  <c r="B14" i="3"/>
  <c r="A14" i="3"/>
  <c r="I13" i="3"/>
  <c r="H13" i="3"/>
  <c r="G13" i="3"/>
  <c r="B13" i="3"/>
  <c r="A13" i="3"/>
  <c r="I12" i="3"/>
  <c r="H12" i="3"/>
  <c r="G12" i="3"/>
  <c r="B12" i="3"/>
  <c r="A12" i="3"/>
  <c r="I11" i="3"/>
  <c r="H11" i="3"/>
  <c r="G11" i="3"/>
  <c r="B11" i="3"/>
  <c r="A11" i="3"/>
  <c r="I10" i="3"/>
  <c r="H10" i="3"/>
  <c r="G10" i="3"/>
  <c r="B10" i="3"/>
  <c r="A10" i="3"/>
  <c r="I9" i="3"/>
  <c r="H9" i="3"/>
  <c r="G9" i="3"/>
  <c r="B9" i="3"/>
  <c r="A9" i="3"/>
  <c r="I8" i="3"/>
  <c r="H8" i="3"/>
  <c r="G8" i="3"/>
  <c r="B8" i="3"/>
  <c r="A8" i="3"/>
  <c r="I7" i="3"/>
  <c r="H7" i="3"/>
  <c r="G7" i="3"/>
  <c r="B7" i="3"/>
  <c r="A7" i="3"/>
  <c r="I6" i="3"/>
  <c r="H6" i="3"/>
  <c r="G6" i="3"/>
  <c r="B6" i="3"/>
  <c r="A6" i="3"/>
  <c r="I5" i="3"/>
  <c r="H5" i="3"/>
  <c r="G5" i="3"/>
  <c r="B5" i="3"/>
  <c r="A5" i="3"/>
  <c r="I4" i="3"/>
  <c r="H4" i="3"/>
  <c r="G4" i="3"/>
  <c r="B4" i="3"/>
  <c r="A4" i="3"/>
  <c r="I3" i="3"/>
  <c r="H3" i="3"/>
  <c r="G3" i="3"/>
  <c r="B3" i="3"/>
  <c r="A3" i="3"/>
  <c r="S13" i="1"/>
  <c r="S59" i="1"/>
  <c r="S12" i="1"/>
  <c r="S77" i="1"/>
  <c r="S2" i="1"/>
  <c r="L2" i="1" l="1"/>
  <c r="E121" i="6" l="1"/>
  <c r="E120" i="6"/>
  <c r="F120" i="6" s="1"/>
  <c r="E119" i="6"/>
  <c r="F119" i="6" s="1"/>
  <c r="E118" i="6"/>
  <c r="F118" i="6" s="1"/>
  <c r="E117" i="6"/>
  <c r="F117" i="6" s="1"/>
  <c r="E116" i="6"/>
  <c r="F116" i="6" s="1"/>
  <c r="E115" i="6"/>
  <c r="F115" i="6" s="1"/>
  <c r="E114" i="6"/>
  <c r="F114" i="6" s="1"/>
  <c r="E113" i="6"/>
  <c r="F113" i="6" s="1"/>
  <c r="E112" i="6"/>
  <c r="F112" i="6" s="1"/>
  <c r="E111" i="6"/>
  <c r="F111" i="6" s="1"/>
  <c r="E110" i="6"/>
  <c r="F110" i="6" s="1"/>
  <c r="E109" i="6"/>
  <c r="F109" i="6" s="1"/>
  <c r="E108" i="6"/>
  <c r="F108" i="6" s="1"/>
  <c r="E107" i="6"/>
  <c r="F107" i="6" s="1"/>
  <c r="E106" i="6"/>
  <c r="F106" i="6" s="1"/>
  <c r="E105" i="6"/>
  <c r="F105" i="6" s="1"/>
  <c r="E104" i="6"/>
  <c r="F104" i="6" s="1"/>
  <c r="E103" i="6"/>
  <c r="F103" i="6" s="1"/>
  <c r="E102" i="6"/>
  <c r="F102" i="6" s="1"/>
  <c r="E101" i="6"/>
  <c r="F101" i="6" s="1"/>
  <c r="E100" i="6"/>
  <c r="F100" i="6" s="1"/>
  <c r="E99" i="6"/>
  <c r="F99" i="6" s="1"/>
  <c r="E98" i="6"/>
  <c r="F98" i="6" s="1"/>
  <c r="E97" i="6"/>
  <c r="F97" i="6" s="1"/>
  <c r="E96" i="6"/>
  <c r="F96" i="6" s="1"/>
  <c r="E95" i="6"/>
  <c r="F95" i="6" s="1"/>
  <c r="E94" i="6"/>
  <c r="F94" i="6" s="1"/>
  <c r="E93" i="6"/>
  <c r="F93" i="6" s="1"/>
  <c r="E92" i="6"/>
  <c r="F92" i="6" s="1"/>
  <c r="E91" i="6"/>
  <c r="F91" i="6" s="1"/>
  <c r="E90" i="6"/>
  <c r="F90" i="6" s="1"/>
  <c r="E89" i="6"/>
  <c r="F89" i="6" s="1"/>
  <c r="E88" i="6"/>
  <c r="F88" i="6" s="1"/>
  <c r="E87" i="6"/>
  <c r="F87" i="6" s="1"/>
  <c r="E86" i="6"/>
  <c r="F86" i="6" s="1"/>
  <c r="E85" i="6"/>
  <c r="F85" i="6" s="1"/>
  <c r="E84" i="6"/>
  <c r="F84" i="6" s="1"/>
  <c r="E83" i="6"/>
  <c r="F83" i="6" s="1"/>
  <c r="E82" i="6"/>
  <c r="F82" i="6" s="1"/>
  <c r="E81" i="6"/>
  <c r="F81" i="6" s="1"/>
  <c r="E80" i="6"/>
  <c r="F80" i="6" s="1"/>
  <c r="E79" i="6"/>
  <c r="F79" i="6" s="1"/>
  <c r="E78" i="6"/>
  <c r="F78" i="6" s="1"/>
  <c r="E77" i="6"/>
  <c r="F77" i="6" s="1"/>
  <c r="E76" i="6"/>
  <c r="F76" i="6" s="1"/>
  <c r="E75" i="6"/>
  <c r="F75" i="6" s="1"/>
  <c r="E74" i="6"/>
  <c r="F74" i="6" s="1"/>
  <c r="E73" i="6"/>
  <c r="F73" i="6" s="1"/>
  <c r="E72" i="6"/>
  <c r="F72" i="6" s="1"/>
  <c r="E71" i="6"/>
  <c r="F71" i="6" s="1"/>
  <c r="E70" i="6"/>
  <c r="F70" i="6" s="1"/>
  <c r="E69" i="6"/>
  <c r="F69" i="6" s="1"/>
  <c r="E68" i="6"/>
  <c r="F68" i="6" s="1"/>
  <c r="E67" i="6"/>
  <c r="F67" i="6" s="1"/>
  <c r="E66" i="6"/>
  <c r="F66" i="6" s="1"/>
  <c r="E65" i="6"/>
  <c r="F65" i="6" s="1"/>
  <c r="E64" i="6"/>
  <c r="F64" i="6" s="1"/>
  <c r="E63" i="6"/>
  <c r="F63" i="6" s="1"/>
  <c r="E62" i="6"/>
  <c r="F62" i="6" s="1"/>
  <c r="E61" i="6"/>
  <c r="F61" i="6" s="1"/>
  <c r="E60" i="6"/>
  <c r="F60" i="6" s="1"/>
  <c r="E59" i="6"/>
  <c r="F59" i="6" s="1"/>
  <c r="E58" i="6"/>
  <c r="F58" i="6" s="1"/>
  <c r="E57" i="6"/>
  <c r="F57" i="6" s="1"/>
  <c r="E56" i="6"/>
  <c r="F56" i="6" s="1"/>
  <c r="E55" i="6"/>
  <c r="F55" i="6" s="1"/>
  <c r="E54" i="6"/>
  <c r="F54" i="6" s="1"/>
  <c r="E53" i="6"/>
  <c r="F53" i="6" s="1"/>
  <c r="E52" i="6"/>
  <c r="F52" i="6" s="1"/>
  <c r="E51" i="6"/>
  <c r="F51" i="6" s="1"/>
  <c r="E50" i="6"/>
  <c r="F50" i="6" s="1"/>
  <c r="E49" i="6"/>
  <c r="F49" i="6" s="1"/>
  <c r="E48" i="6"/>
  <c r="F48" i="6" s="1"/>
  <c r="E47" i="6"/>
  <c r="F47" i="6" s="1"/>
  <c r="E46" i="6"/>
  <c r="F46" i="6" s="1"/>
  <c r="E45" i="6"/>
  <c r="F45" i="6" s="1"/>
  <c r="E44" i="6"/>
  <c r="F44" i="6" s="1"/>
  <c r="E43" i="6"/>
  <c r="F43" i="6" s="1"/>
  <c r="E42" i="6"/>
  <c r="F42" i="6" s="1"/>
  <c r="E41" i="6"/>
  <c r="F41" i="6" s="1"/>
  <c r="E40" i="6"/>
  <c r="F40" i="6" s="1"/>
  <c r="E39" i="6"/>
  <c r="F39" i="6" s="1"/>
  <c r="E38" i="6"/>
  <c r="F38" i="6" s="1"/>
  <c r="E37" i="6"/>
  <c r="F37" i="6" s="1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E21" i="6"/>
  <c r="F21" i="6" s="1"/>
  <c r="E20" i="6"/>
  <c r="F20" i="6" s="1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F121" i="6"/>
  <c r="A122" i="1"/>
  <c r="G28" i="5" l="1"/>
  <c r="G25" i="5"/>
  <c r="G22" i="5"/>
  <c r="G19" i="5"/>
  <c r="K22" i="5"/>
  <c r="K19" i="5"/>
  <c r="C28" i="5"/>
  <c r="C25" i="5"/>
  <c r="C22" i="5"/>
  <c r="C19" i="5"/>
  <c r="C16" i="5" l="1"/>
  <c r="C14" i="5"/>
  <c r="C15" i="5"/>
  <c r="C12" i="5"/>
  <c r="C11" i="5"/>
  <c r="C10" i="5"/>
  <c r="C9" i="5"/>
  <c r="L120" i="1" l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2" i="1"/>
  <c r="U102" i="1" s="1"/>
  <c r="L101" i="1"/>
  <c r="L100" i="1"/>
  <c r="L99" i="1"/>
  <c r="L98" i="1"/>
  <c r="L97" i="1"/>
  <c r="L96" i="1"/>
  <c r="L95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3" i="1"/>
  <c r="L4" i="1"/>
  <c r="X119" i="1"/>
  <c r="E119" i="3" s="1"/>
  <c r="X118" i="1"/>
  <c r="E118" i="3" s="1"/>
  <c r="X117" i="1"/>
  <c r="E117" i="3" s="1"/>
  <c r="X116" i="1"/>
  <c r="E116" i="3" s="1"/>
  <c r="X115" i="1"/>
  <c r="E115" i="3" s="1"/>
  <c r="X114" i="1"/>
  <c r="E114" i="3" s="1"/>
  <c r="X113" i="1"/>
  <c r="E113" i="3" s="1"/>
  <c r="X112" i="1"/>
  <c r="E112" i="3" s="1"/>
  <c r="X111" i="1"/>
  <c r="E111" i="3" s="1"/>
  <c r="X110" i="1"/>
  <c r="E110" i="3" s="1"/>
  <c r="X109" i="1"/>
  <c r="E109" i="3" s="1"/>
  <c r="X108" i="1"/>
  <c r="E108" i="3" s="1"/>
  <c r="X107" i="1"/>
  <c r="E107" i="3" s="1"/>
  <c r="X106" i="1"/>
  <c r="E106" i="3" s="1"/>
  <c r="X105" i="1"/>
  <c r="E105" i="3" s="1"/>
  <c r="X104" i="1"/>
  <c r="E104" i="3" s="1"/>
  <c r="E102" i="3"/>
  <c r="X101" i="1"/>
  <c r="E101" i="3" s="1"/>
  <c r="X100" i="1"/>
  <c r="E100" i="3" s="1"/>
  <c r="X99" i="1"/>
  <c r="E99" i="3" s="1"/>
  <c r="X98" i="1"/>
  <c r="E98" i="3" s="1"/>
  <c r="X97" i="1"/>
  <c r="E97" i="3" s="1"/>
  <c r="X96" i="1"/>
  <c r="E96" i="3" s="1"/>
  <c r="X95" i="1"/>
  <c r="E95" i="3" s="1"/>
  <c r="X94" i="1"/>
  <c r="E94" i="3" s="1"/>
  <c r="X93" i="1"/>
  <c r="E93" i="3" s="1"/>
  <c r="X92" i="1"/>
  <c r="E92" i="3" s="1"/>
  <c r="X91" i="1"/>
  <c r="E91" i="3" s="1"/>
  <c r="X90" i="1"/>
  <c r="E90" i="3" s="1"/>
  <c r="X89" i="1"/>
  <c r="E89" i="3" s="1"/>
  <c r="X88" i="1"/>
  <c r="E88" i="3" s="1"/>
  <c r="X87" i="1"/>
  <c r="E87" i="3" s="1"/>
  <c r="X86" i="1"/>
  <c r="E86" i="3" s="1"/>
  <c r="X85" i="1"/>
  <c r="E85" i="3" s="1"/>
  <c r="X84" i="1"/>
  <c r="E84" i="3" s="1"/>
  <c r="X83" i="1"/>
  <c r="E83" i="3" s="1"/>
  <c r="X82" i="1"/>
  <c r="E82" i="3" s="1"/>
  <c r="X81" i="1"/>
  <c r="E81" i="3" s="1"/>
  <c r="X80" i="1"/>
  <c r="E80" i="3" s="1"/>
  <c r="X79" i="1"/>
  <c r="E79" i="3" s="1"/>
  <c r="X78" i="1"/>
  <c r="E78" i="3" s="1"/>
  <c r="X77" i="1"/>
  <c r="E77" i="3" s="1"/>
  <c r="X76" i="1"/>
  <c r="E76" i="3" s="1"/>
  <c r="X75" i="1"/>
  <c r="E75" i="3" s="1"/>
  <c r="X74" i="1"/>
  <c r="E74" i="3" s="1"/>
  <c r="X73" i="1"/>
  <c r="E73" i="3" s="1"/>
  <c r="X72" i="1"/>
  <c r="E72" i="3" s="1"/>
  <c r="X71" i="1"/>
  <c r="E71" i="3" s="1"/>
  <c r="X70" i="1"/>
  <c r="E70" i="3" s="1"/>
  <c r="X69" i="1"/>
  <c r="E69" i="3" s="1"/>
  <c r="X68" i="1"/>
  <c r="E68" i="3" s="1"/>
  <c r="X67" i="1"/>
  <c r="E67" i="3" s="1"/>
  <c r="X66" i="1"/>
  <c r="E66" i="3" s="1"/>
  <c r="X65" i="1"/>
  <c r="E65" i="3" s="1"/>
  <c r="X64" i="1"/>
  <c r="E64" i="3" s="1"/>
  <c r="X63" i="1"/>
  <c r="E63" i="3" s="1"/>
  <c r="X62" i="1"/>
  <c r="E62" i="3" s="1"/>
  <c r="X61" i="1"/>
  <c r="E61" i="3" s="1"/>
  <c r="X60" i="1"/>
  <c r="E60" i="3" s="1"/>
  <c r="X59" i="1"/>
  <c r="E59" i="3" s="1"/>
  <c r="X58" i="1"/>
  <c r="E58" i="3" s="1"/>
  <c r="X57" i="1"/>
  <c r="E57" i="3" s="1"/>
  <c r="X56" i="1"/>
  <c r="E56" i="3" s="1"/>
  <c r="X55" i="1"/>
  <c r="E55" i="3" s="1"/>
  <c r="X54" i="1"/>
  <c r="E54" i="3" s="1"/>
  <c r="X53" i="1"/>
  <c r="E53" i="3" s="1"/>
  <c r="X52" i="1"/>
  <c r="E52" i="3" s="1"/>
  <c r="X51" i="1"/>
  <c r="E51" i="3" s="1"/>
  <c r="X50" i="1"/>
  <c r="E50" i="3" s="1"/>
  <c r="X49" i="1"/>
  <c r="E49" i="3" s="1"/>
  <c r="X48" i="1"/>
  <c r="E48" i="3" s="1"/>
  <c r="X47" i="1"/>
  <c r="E47" i="3" s="1"/>
  <c r="X46" i="1"/>
  <c r="E46" i="3" s="1"/>
  <c r="X45" i="1"/>
  <c r="E45" i="3" s="1"/>
  <c r="X44" i="1"/>
  <c r="E44" i="3" s="1"/>
  <c r="X43" i="1"/>
  <c r="E43" i="3" s="1"/>
  <c r="X42" i="1"/>
  <c r="E42" i="3" s="1"/>
  <c r="X41" i="1"/>
  <c r="E41" i="3" s="1"/>
  <c r="X40" i="1"/>
  <c r="E40" i="3" s="1"/>
  <c r="X39" i="1"/>
  <c r="E39" i="3" s="1"/>
  <c r="X38" i="1"/>
  <c r="E38" i="3" s="1"/>
  <c r="X37" i="1"/>
  <c r="E37" i="3" s="1"/>
  <c r="X36" i="1"/>
  <c r="E36" i="3" s="1"/>
  <c r="X35" i="1"/>
  <c r="E35" i="3" s="1"/>
  <c r="X34" i="1"/>
  <c r="E34" i="3" s="1"/>
  <c r="X33" i="1"/>
  <c r="E33" i="3" s="1"/>
  <c r="X32" i="1"/>
  <c r="E32" i="3" s="1"/>
  <c r="X31" i="1"/>
  <c r="E31" i="3" s="1"/>
  <c r="X30" i="1"/>
  <c r="E30" i="3" s="1"/>
  <c r="X29" i="1"/>
  <c r="E29" i="3" s="1"/>
  <c r="X28" i="1"/>
  <c r="E28" i="3" s="1"/>
  <c r="X27" i="1"/>
  <c r="E27" i="3" s="1"/>
  <c r="X26" i="1"/>
  <c r="E26" i="3" s="1"/>
  <c r="X25" i="1"/>
  <c r="E25" i="3" s="1"/>
  <c r="X24" i="1"/>
  <c r="E24" i="3" s="1"/>
  <c r="X23" i="1"/>
  <c r="E23" i="3" s="1"/>
  <c r="X22" i="1"/>
  <c r="E22" i="3" s="1"/>
  <c r="X21" i="1"/>
  <c r="E21" i="3" s="1"/>
  <c r="X20" i="1"/>
  <c r="E20" i="3" s="1"/>
  <c r="X19" i="1"/>
  <c r="E19" i="3" s="1"/>
  <c r="X18" i="1"/>
  <c r="E18" i="3" s="1"/>
  <c r="X17" i="1"/>
  <c r="E17" i="3" s="1"/>
  <c r="X16" i="1"/>
  <c r="E16" i="3" s="1"/>
  <c r="X15" i="1"/>
  <c r="E15" i="3" s="1"/>
  <c r="X14" i="1"/>
  <c r="E14" i="3" s="1"/>
  <c r="X13" i="1"/>
  <c r="E13" i="3" s="1"/>
  <c r="X12" i="1"/>
  <c r="E12" i="3" s="1"/>
  <c r="X11" i="1"/>
  <c r="E11" i="3" s="1"/>
  <c r="X10" i="1"/>
  <c r="E10" i="3" s="1"/>
  <c r="X9" i="1"/>
  <c r="E9" i="3" s="1"/>
  <c r="X8" i="1"/>
  <c r="E8" i="3" s="1"/>
  <c r="X7" i="1"/>
  <c r="E7" i="3" s="1"/>
  <c r="X6" i="1"/>
  <c r="E6" i="3" s="1"/>
  <c r="X5" i="1"/>
  <c r="E5" i="3" s="1"/>
  <c r="X4" i="1"/>
  <c r="E4" i="3" s="1"/>
  <c r="X3" i="1"/>
  <c r="E3" i="3" s="1"/>
  <c r="X2" i="1"/>
  <c r="X120" i="1"/>
  <c r="E120" i="3" s="1"/>
  <c r="I124" i="1"/>
  <c r="C2" i="5" s="1"/>
  <c r="I125" i="1"/>
  <c r="C3" i="5" s="1"/>
  <c r="I126" i="1"/>
  <c r="C4" i="5" s="1"/>
  <c r="I127" i="1"/>
  <c r="I128" i="1"/>
  <c r="C6" i="5" s="1"/>
  <c r="I129" i="1"/>
  <c r="C7" i="5" s="1"/>
  <c r="V120" i="1"/>
  <c r="C120" i="3" s="1"/>
  <c r="V119" i="1"/>
  <c r="C119" i="3" s="1"/>
  <c r="V117" i="1"/>
  <c r="C117" i="3" s="1"/>
  <c r="V116" i="1"/>
  <c r="C116" i="3" s="1"/>
  <c r="V115" i="1"/>
  <c r="C115" i="3" s="1"/>
  <c r="V114" i="1"/>
  <c r="C114" i="3" s="1"/>
  <c r="V113" i="1"/>
  <c r="C113" i="3" s="1"/>
  <c r="V112" i="1"/>
  <c r="C112" i="3" s="1"/>
  <c r="V111" i="1"/>
  <c r="C111" i="3" s="1"/>
  <c r="V110" i="1"/>
  <c r="C110" i="3" s="1"/>
  <c r="V109" i="1"/>
  <c r="C109" i="3" s="1"/>
  <c r="V108" i="1"/>
  <c r="C108" i="3" s="1"/>
  <c r="V107" i="1"/>
  <c r="C107" i="3" s="1"/>
  <c r="V106" i="1"/>
  <c r="C106" i="3" s="1"/>
  <c r="V105" i="1"/>
  <c r="C105" i="3" s="1"/>
  <c r="V104" i="1"/>
  <c r="C104" i="3" s="1"/>
  <c r="C102" i="3"/>
  <c r="V101" i="1"/>
  <c r="C101" i="3" s="1"/>
  <c r="V100" i="1"/>
  <c r="C100" i="3" s="1"/>
  <c r="V99" i="1"/>
  <c r="C99" i="3" s="1"/>
  <c r="V98" i="1"/>
  <c r="C98" i="3" s="1"/>
  <c r="V97" i="1"/>
  <c r="C97" i="3" s="1"/>
  <c r="V96" i="1"/>
  <c r="C96" i="3" s="1"/>
  <c r="V95" i="1"/>
  <c r="C95" i="3" s="1"/>
  <c r="V94" i="1"/>
  <c r="C94" i="3" s="1"/>
  <c r="V93" i="1"/>
  <c r="C93" i="3" s="1"/>
  <c r="V92" i="1"/>
  <c r="C92" i="3" s="1"/>
  <c r="V91" i="1"/>
  <c r="C91" i="3" s="1"/>
  <c r="V90" i="1"/>
  <c r="C90" i="3" s="1"/>
  <c r="V89" i="1"/>
  <c r="C89" i="3" s="1"/>
  <c r="V88" i="1"/>
  <c r="C88" i="3" s="1"/>
  <c r="V87" i="1"/>
  <c r="C87" i="3" s="1"/>
  <c r="V86" i="1"/>
  <c r="C86" i="3" s="1"/>
  <c r="V85" i="1"/>
  <c r="C85" i="3" s="1"/>
  <c r="V84" i="1"/>
  <c r="C84" i="3" s="1"/>
  <c r="V83" i="1"/>
  <c r="C83" i="3" s="1"/>
  <c r="V82" i="1"/>
  <c r="C82" i="3" s="1"/>
  <c r="V81" i="1"/>
  <c r="C81" i="3" s="1"/>
  <c r="V80" i="1"/>
  <c r="C80" i="3" s="1"/>
  <c r="V79" i="1"/>
  <c r="C79" i="3" s="1"/>
  <c r="V78" i="1"/>
  <c r="C78" i="3" s="1"/>
  <c r="V77" i="1"/>
  <c r="C77" i="3" s="1"/>
  <c r="V76" i="1"/>
  <c r="C76" i="3" s="1"/>
  <c r="V75" i="1"/>
  <c r="C75" i="3" s="1"/>
  <c r="V74" i="1"/>
  <c r="C74" i="3" s="1"/>
  <c r="V73" i="1"/>
  <c r="C73" i="3" s="1"/>
  <c r="V72" i="1"/>
  <c r="C72" i="3" s="1"/>
  <c r="V71" i="1"/>
  <c r="C71" i="3" s="1"/>
  <c r="V70" i="1"/>
  <c r="C70" i="3" s="1"/>
  <c r="V69" i="1"/>
  <c r="C69" i="3" s="1"/>
  <c r="V68" i="1"/>
  <c r="C68" i="3" s="1"/>
  <c r="V67" i="1"/>
  <c r="C67" i="3" s="1"/>
  <c r="V66" i="1"/>
  <c r="C66" i="3" s="1"/>
  <c r="V65" i="1"/>
  <c r="C65" i="3" s="1"/>
  <c r="V64" i="1"/>
  <c r="C64" i="3" s="1"/>
  <c r="V63" i="1"/>
  <c r="C63" i="3" s="1"/>
  <c r="V62" i="1"/>
  <c r="C62" i="3" s="1"/>
  <c r="V61" i="1"/>
  <c r="C61" i="3" s="1"/>
  <c r="V60" i="1"/>
  <c r="C60" i="3" s="1"/>
  <c r="V59" i="1"/>
  <c r="C59" i="3" s="1"/>
  <c r="V58" i="1"/>
  <c r="C58" i="3" s="1"/>
  <c r="V57" i="1"/>
  <c r="C57" i="3" s="1"/>
  <c r="V56" i="1"/>
  <c r="C56" i="3" s="1"/>
  <c r="V55" i="1"/>
  <c r="C55" i="3" s="1"/>
  <c r="V54" i="1"/>
  <c r="C54" i="3" s="1"/>
  <c r="V53" i="1"/>
  <c r="C53" i="3" s="1"/>
  <c r="V52" i="1"/>
  <c r="C52" i="3" s="1"/>
  <c r="V51" i="1"/>
  <c r="C51" i="3" s="1"/>
  <c r="V50" i="1"/>
  <c r="C50" i="3" s="1"/>
  <c r="V49" i="1"/>
  <c r="C49" i="3" s="1"/>
  <c r="V48" i="1"/>
  <c r="C48" i="3" s="1"/>
  <c r="V47" i="1"/>
  <c r="C47" i="3" s="1"/>
  <c r="V46" i="1"/>
  <c r="C46" i="3" s="1"/>
  <c r="V45" i="1"/>
  <c r="C45" i="3" s="1"/>
  <c r="V44" i="1"/>
  <c r="C44" i="3" s="1"/>
  <c r="V43" i="1"/>
  <c r="C43" i="3" s="1"/>
  <c r="V42" i="1"/>
  <c r="C42" i="3" s="1"/>
  <c r="V41" i="1"/>
  <c r="C41" i="3" s="1"/>
  <c r="V40" i="1"/>
  <c r="C40" i="3" s="1"/>
  <c r="V39" i="1"/>
  <c r="C39" i="3" s="1"/>
  <c r="V38" i="1"/>
  <c r="C38" i="3" s="1"/>
  <c r="V37" i="1"/>
  <c r="C37" i="3" s="1"/>
  <c r="V36" i="1"/>
  <c r="C36" i="3" s="1"/>
  <c r="V35" i="1"/>
  <c r="C35" i="3" s="1"/>
  <c r="V34" i="1"/>
  <c r="C34" i="3" s="1"/>
  <c r="V33" i="1"/>
  <c r="C33" i="3" s="1"/>
  <c r="V32" i="1"/>
  <c r="C32" i="3" s="1"/>
  <c r="V31" i="1"/>
  <c r="C31" i="3" s="1"/>
  <c r="V30" i="1"/>
  <c r="C30" i="3" s="1"/>
  <c r="V29" i="1"/>
  <c r="C29" i="3" s="1"/>
  <c r="V28" i="1"/>
  <c r="C28" i="3" s="1"/>
  <c r="V27" i="1"/>
  <c r="C27" i="3" s="1"/>
  <c r="V26" i="1"/>
  <c r="C26" i="3" s="1"/>
  <c r="V25" i="1"/>
  <c r="C25" i="3" s="1"/>
  <c r="V24" i="1"/>
  <c r="C24" i="3" s="1"/>
  <c r="V23" i="1"/>
  <c r="C23" i="3" s="1"/>
  <c r="V22" i="1"/>
  <c r="C22" i="3" s="1"/>
  <c r="V21" i="1"/>
  <c r="C21" i="3" s="1"/>
  <c r="V20" i="1"/>
  <c r="C20" i="3" s="1"/>
  <c r="V19" i="1"/>
  <c r="C19" i="3" s="1"/>
  <c r="V18" i="1"/>
  <c r="C18" i="3" s="1"/>
  <c r="V17" i="1"/>
  <c r="C17" i="3" s="1"/>
  <c r="V16" i="1"/>
  <c r="C16" i="3" s="1"/>
  <c r="V15" i="1"/>
  <c r="C15" i="3" s="1"/>
  <c r="V14" i="1"/>
  <c r="C14" i="3" s="1"/>
  <c r="V13" i="1"/>
  <c r="C13" i="3" s="1"/>
  <c r="V12" i="1"/>
  <c r="C12" i="3" s="1"/>
  <c r="V11" i="1"/>
  <c r="C11" i="3" s="1"/>
  <c r="V10" i="1"/>
  <c r="C10" i="3" s="1"/>
  <c r="V9" i="1"/>
  <c r="C9" i="3" s="1"/>
  <c r="V8" i="1"/>
  <c r="C8" i="3" s="1"/>
  <c r="V7" i="1"/>
  <c r="C7" i="3" s="1"/>
  <c r="V6" i="1"/>
  <c r="C6" i="3" s="1"/>
  <c r="V5" i="1"/>
  <c r="C5" i="3" s="1"/>
  <c r="V4" i="1"/>
  <c r="C4" i="3" s="1"/>
  <c r="V3" i="1"/>
  <c r="C3" i="3" s="1"/>
  <c r="V2" i="1"/>
  <c r="V118" i="1"/>
  <c r="C118" i="3" s="1"/>
  <c r="C5" i="5"/>
  <c r="V129" i="1" l="1"/>
  <c r="E7" i="5" s="1"/>
  <c r="X128" i="1"/>
  <c r="F6" i="5" s="1"/>
  <c r="V124" i="1"/>
  <c r="E2" i="5" s="1"/>
  <c r="V126" i="1"/>
  <c r="E4" i="5" s="1"/>
  <c r="V128" i="1"/>
  <c r="E6" i="5" s="1"/>
  <c r="X125" i="1"/>
  <c r="F3" i="5" s="1"/>
  <c r="X127" i="1"/>
  <c r="F5" i="5" s="1"/>
  <c r="X129" i="1"/>
  <c r="F7" i="5" s="1"/>
  <c r="V125" i="1"/>
  <c r="E3" i="5" s="1"/>
  <c r="V127" i="1"/>
  <c r="E5" i="5" s="1"/>
  <c r="X124" i="1"/>
  <c r="F2" i="5" s="1"/>
  <c r="X126" i="1"/>
  <c r="F4" i="5" s="1"/>
  <c r="G129" i="1"/>
  <c r="G128" i="1"/>
  <c r="G125" i="1"/>
  <c r="G124" i="1"/>
  <c r="G127" i="1"/>
  <c r="G126" i="1"/>
  <c r="I122" i="1"/>
  <c r="G122" i="1"/>
  <c r="I2" i="3" l="1"/>
  <c r="H2" i="3"/>
  <c r="G2" i="3"/>
  <c r="B2" i="3"/>
  <c r="A2" i="3"/>
  <c r="B2" i="4" s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J2" i="4" l="1"/>
  <c r="I2" i="4"/>
  <c r="H2" i="4"/>
  <c r="C2" i="4"/>
  <c r="Y120" i="1"/>
  <c r="F120" i="3" s="1"/>
  <c r="Y119" i="1"/>
  <c r="F119" i="3" s="1"/>
  <c r="Y118" i="1"/>
  <c r="F118" i="3" s="1"/>
  <c r="Y117" i="1"/>
  <c r="F117" i="3" s="1"/>
  <c r="Y116" i="1"/>
  <c r="F116" i="3" s="1"/>
  <c r="Y115" i="1"/>
  <c r="F115" i="3" s="1"/>
  <c r="Y114" i="1"/>
  <c r="F114" i="3" s="1"/>
  <c r="Y113" i="1"/>
  <c r="F113" i="3" s="1"/>
  <c r="Y112" i="1"/>
  <c r="F112" i="3" s="1"/>
  <c r="Y111" i="1"/>
  <c r="F111" i="3" s="1"/>
  <c r="Y110" i="1"/>
  <c r="F110" i="3" s="1"/>
  <c r="Y109" i="1"/>
  <c r="F109" i="3" s="1"/>
  <c r="Y108" i="1"/>
  <c r="F108" i="3" s="1"/>
  <c r="Y107" i="1"/>
  <c r="F107" i="3" s="1"/>
  <c r="Y106" i="1"/>
  <c r="F106" i="3" s="1"/>
  <c r="Y105" i="1"/>
  <c r="F105" i="3" s="1"/>
  <c r="Y104" i="1"/>
  <c r="F104" i="3" s="1"/>
  <c r="F102" i="3"/>
  <c r="Y101" i="1"/>
  <c r="F101" i="3" s="1"/>
  <c r="Y100" i="1"/>
  <c r="F100" i="3" s="1"/>
  <c r="Y99" i="1"/>
  <c r="F99" i="3" s="1"/>
  <c r="Y98" i="1"/>
  <c r="F98" i="3" s="1"/>
  <c r="Y97" i="1"/>
  <c r="F97" i="3" s="1"/>
  <c r="Y96" i="1"/>
  <c r="F96" i="3" s="1"/>
  <c r="Y95" i="1"/>
  <c r="F95" i="3" s="1"/>
  <c r="Y94" i="1"/>
  <c r="F94" i="3" s="1"/>
  <c r="Y93" i="1"/>
  <c r="F93" i="3" s="1"/>
  <c r="Y92" i="1"/>
  <c r="F92" i="3" s="1"/>
  <c r="Y91" i="1"/>
  <c r="F91" i="3" s="1"/>
  <c r="Y90" i="1"/>
  <c r="F90" i="3" s="1"/>
  <c r="Y89" i="1"/>
  <c r="F89" i="3" s="1"/>
  <c r="Y88" i="1"/>
  <c r="F88" i="3" s="1"/>
  <c r="Y87" i="1"/>
  <c r="F87" i="3" s="1"/>
  <c r="Y86" i="1"/>
  <c r="F86" i="3" s="1"/>
  <c r="Y85" i="1"/>
  <c r="F85" i="3" s="1"/>
  <c r="Y84" i="1"/>
  <c r="F84" i="3" s="1"/>
  <c r="Y83" i="1"/>
  <c r="F83" i="3" s="1"/>
  <c r="Y82" i="1"/>
  <c r="F82" i="3" s="1"/>
  <c r="Y81" i="1"/>
  <c r="F81" i="3" s="1"/>
  <c r="Y80" i="1"/>
  <c r="F80" i="3" s="1"/>
  <c r="Y79" i="1"/>
  <c r="F79" i="3" s="1"/>
  <c r="Y78" i="1"/>
  <c r="F78" i="3" s="1"/>
  <c r="Y77" i="1"/>
  <c r="F77" i="3" s="1"/>
  <c r="Y76" i="1"/>
  <c r="F76" i="3" s="1"/>
  <c r="Y75" i="1"/>
  <c r="F75" i="3" s="1"/>
  <c r="Y74" i="1"/>
  <c r="F74" i="3" s="1"/>
  <c r="Y73" i="1"/>
  <c r="F73" i="3" s="1"/>
  <c r="Y72" i="1"/>
  <c r="F72" i="3" s="1"/>
  <c r="Y71" i="1"/>
  <c r="F71" i="3" s="1"/>
  <c r="Y70" i="1"/>
  <c r="F70" i="3" s="1"/>
  <c r="Y69" i="1"/>
  <c r="F69" i="3" s="1"/>
  <c r="Y68" i="1"/>
  <c r="F68" i="3" s="1"/>
  <c r="Y67" i="1"/>
  <c r="F67" i="3" s="1"/>
  <c r="Y66" i="1"/>
  <c r="F66" i="3" s="1"/>
  <c r="Y65" i="1"/>
  <c r="F65" i="3" s="1"/>
  <c r="Y64" i="1"/>
  <c r="F64" i="3" s="1"/>
  <c r="Y63" i="1"/>
  <c r="F63" i="3" s="1"/>
  <c r="Y62" i="1"/>
  <c r="F62" i="3" s="1"/>
  <c r="Y61" i="1"/>
  <c r="F61" i="3" s="1"/>
  <c r="Y60" i="1"/>
  <c r="F60" i="3" s="1"/>
  <c r="Y59" i="1"/>
  <c r="F59" i="3" s="1"/>
  <c r="Y58" i="1"/>
  <c r="F58" i="3" s="1"/>
  <c r="Y57" i="1"/>
  <c r="F57" i="3" s="1"/>
  <c r="Y56" i="1"/>
  <c r="F56" i="3" s="1"/>
  <c r="Y55" i="1"/>
  <c r="F55" i="3" s="1"/>
  <c r="Y54" i="1"/>
  <c r="F54" i="3" s="1"/>
  <c r="Y53" i="1"/>
  <c r="F53" i="3" s="1"/>
  <c r="Y52" i="1"/>
  <c r="F52" i="3" s="1"/>
  <c r="Y51" i="1"/>
  <c r="F51" i="3" s="1"/>
  <c r="Y50" i="1"/>
  <c r="F50" i="3" s="1"/>
  <c r="Y49" i="1"/>
  <c r="F49" i="3" s="1"/>
  <c r="Y48" i="1"/>
  <c r="F48" i="3" s="1"/>
  <c r="Y47" i="1"/>
  <c r="F47" i="3" s="1"/>
  <c r="Y46" i="1"/>
  <c r="F46" i="3" s="1"/>
  <c r="Y45" i="1"/>
  <c r="F45" i="3" s="1"/>
  <c r="Y44" i="1"/>
  <c r="F44" i="3" s="1"/>
  <c r="Y43" i="1"/>
  <c r="F43" i="3" s="1"/>
  <c r="Y42" i="1"/>
  <c r="F42" i="3" s="1"/>
  <c r="Y41" i="1"/>
  <c r="F41" i="3" s="1"/>
  <c r="Y40" i="1"/>
  <c r="F40" i="3" s="1"/>
  <c r="Y39" i="1"/>
  <c r="F39" i="3" s="1"/>
  <c r="Y38" i="1"/>
  <c r="F38" i="3" s="1"/>
  <c r="Y37" i="1"/>
  <c r="F37" i="3" s="1"/>
  <c r="Y36" i="1"/>
  <c r="F36" i="3" s="1"/>
  <c r="Y35" i="1"/>
  <c r="F35" i="3" s="1"/>
  <c r="Y34" i="1"/>
  <c r="F34" i="3" s="1"/>
  <c r="Y33" i="1"/>
  <c r="F33" i="3" s="1"/>
  <c r="Y32" i="1"/>
  <c r="F32" i="3" s="1"/>
  <c r="Y31" i="1"/>
  <c r="F31" i="3" s="1"/>
  <c r="Y30" i="1"/>
  <c r="F30" i="3" s="1"/>
  <c r="Y29" i="1"/>
  <c r="F29" i="3" s="1"/>
  <c r="Y28" i="1"/>
  <c r="F28" i="3" s="1"/>
  <c r="Y27" i="1"/>
  <c r="F27" i="3" s="1"/>
  <c r="Y26" i="1"/>
  <c r="F26" i="3" s="1"/>
  <c r="Y25" i="1"/>
  <c r="F25" i="3" s="1"/>
  <c r="Y24" i="1"/>
  <c r="F24" i="3" s="1"/>
  <c r="Y23" i="1"/>
  <c r="F23" i="3" s="1"/>
  <c r="Y22" i="1"/>
  <c r="F22" i="3" s="1"/>
  <c r="Y21" i="1"/>
  <c r="F21" i="3" s="1"/>
  <c r="Y20" i="1"/>
  <c r="F20" i="3" s="1"/>
  <c r="Y19" i="1"/>
  <c r="F19" i="3" s="1"/>
  <c r="Y18" i="1"/>
  <c r="F18" i="3" s="1"/>
  <c r="Y17" i="1"/>
  <c r="F17" i="3" s="1"/>
  <c r="Y16" i="1"/>
  <c r="F16" i="3" s="1"/>
  <c r="Y15" i="1"/>
  <c r="F15" i="3" s="1"/>
  <c r="Y14" i="1"/>
  <c r="F14" i="3" s="1"/>
  <c r="Y13" i="1"/>
  <c r="F13" i="3" s="1"/>
  <c r="Y12" i="1"/>
  <c r="F12" i="3" s="1"/>
  <c r="Y11" i="1"/>
  <c r="F11" i="3" s="1"/>
  <c r="Y10" i="1"/>
  <c r="F10" i="3" s="1"/>
  <c r="Y9" i="1"/>
  <c r="F9" i="3" s="1"/>
  <c r="Y8" i="1"/>
  <c r="F8" i="3" s="1"/>
  <c r="Y7" i="1"/>
  <c r="F7" i="3" s="1"/>
  <c r="Y6" i="1"/>
  <c r="F6" i="3" s="1"/>
  <c r="Y5" i="1"/>
  <c r="F5" i="3" s="1"/>
  <c r="Y4" i="1"/>
  <c r="F4" i="3" s="1"/>
  <c r="Y3" i="1"/>
  <c r="F3" i="3" s="1"/>
  <c r="W120" i="1"/>
  <c r="D120" i="3" s="1"/>
  <c r="W119" i="1"/>
  <c r="D119" i="3" s="1"/>
  <c r="W118" i="1"/>
  <c r="D118" i="3" s="1"/>
  <c r="W117" i="1"/>
  <c r="D117" i="3" s="1"/>
  <c r="W116" i="1"/>
  <c r="D116" i="3" s="1"/>
  <c r="W115" i="1"/>
  <c r="D115" i="3" s="1"/>
  <c r="W114" i="1"/>
  <c r="D114" i="3" s="1"/>
  <c r="W113" i="1"/>
  <c r="D113" i="3" s="1"/>
  <c r="W112" i="1"/>
  <c r="D112" i="3" s="1"/>
  <c r="W111" i="1"/>
  <c r="D111" i="3" s="1"/>
  <c r="W110" i="1"/>
  <c r="D110" i="3" s="1"/>
  <c r="W109" i="1"/>
  <c r="D109" i="3" s="1"/>
  <c r="W108" i="1"/>
  <c r="D108" i="3" s="1"/>
  <c r="W107" i="1"/>
  <c r="D107" i="3" s="1"/>
  <c r="W106" i="1"/>
  <c r="D106" i="3" s="1"/>
  <c r="W105" i="1"/>
  <c r="D105" i="3" s="1"/>
  <c r="W104" i="1"/>
  <c r="D104" i="3" s="1"/>
  <c r="D102" i="3"/>
  <c r="W101" i="1"/>
  <c r="D101" i="3" s="1"/>
  <c r="W100" i="1"/>
  <c r="D100" i="3" s="1"/>
  <c r="W99" i="1"/>
  <c r="D99" i="3" s="1"/>
  <c r="W98" i="1"/>
  <c r="D98" i="3" s="1"/>
  <c r="W97" i="1"/>
  <c r="D97" i="3" s="1"/>
  <c r="W96" i="1"/>
  <c r="D96" i="3" s="1"/>
  <c r="W95" i="1"/>
  <c r="D95" i="3" s="1"/>
  <c r="W94" i="1"/>
  <c r="D94" i="3" s="1"/>
  <c r="W93" i="1"/>
  <c r="D93" i="3" s="1"/>
  <c r="W92" i="1"/>
  <c r="D92" i="3" s="1"/>
  <c r="W91" i="1"/>
  <c r="D91" i="3" s="1"/>
  <c r="W90" i="1"/>
  <c r="D90" i="3" s="1"/>
  <c r="W89" i="1"/>
  <c r="D89" i="3" s="1"/>
  <c r="W88" i="1"/>
  <c r="D88" i="3" s="1"/>
  <c r="W87" i="1"/>
  <c r="D87" i="3" s="1"/>
  <c r="W86" i="1"/>
  <c r="D86" i="3" s="1"/>
  <c r="W85" i="1"/>
  <c r="D85" i="3" s="1"/>
  <c r="W84" i="1"/>
  <c r="D84" i="3" s="1"/>
  <c r="W83" i="1"/>
  <c r="D83" i="3" s="1"/>
  <c r="W82" i="1"/>
  <c r="D82" i="3" s="1"/>
  <c r="W81" i="1"/>
  <c r="D81" i="3" s="1"/>
  <c r="W80" i="1"/>
  <c r="D80" i="3" s="1"/>
  <c r="W79" i="1"/>
  <c r="D79" i="3" s="1"/>
  <c r="W78" i="1"/>
  <c r="D78" i="3" s="1"/>
  <c r="W77" i="1"/>
  <c r="D77" i="3" s="1"/>
  <c r="W76" i="1"/>
  <c r="D76" i="3" s="1"/>
  <c r="W75" i="1"/>
  <c r="D75" i="3" s="1"/>
  <c r="W74" i="1"/>
  <c r="D74" i="3" s="1"/>
  <c r="W73" i="1"/>
  <c r="D73" i="3" s="1"/>
  <c r="W72" i="1"/>
  <c r="D72" i="3" s="1"/>
  <c r="W71" i="1"/>
  <c r="D71" i="3" s="1"/>
  <c r="W70" i="1"/>
  <c r="D70" i="3" s="1"/>
  <c r="W69" i="1"/>
  <c r="D69" i="3" s="1"/>
  <c r="W68" i="1"/>
  <c r="D68" i="3" s="1"/>
  <c r="W67" i="1"/>
  <c r="D67" i="3" s="1"/>
  <c r="W66" i="1"/>
  <c r="D66" i="3" s="1"/>
  <c r="W65" i="1"/>
  <c r="D65" i="3" s="1"/>
  <c r="W64" i="1"/>
  <c r="D64" i="3" s="1"/>
  <c r="W63" i="1"/>
  <c r="D63" i="3" s="1"/>
  <c r="W62" i="1"/>
  <c r="D62" i="3" s="1"/>
  <c r="W61" i="1"/>
  <c r="D61" i="3" s="1"/>
  <c r="W60" i="1"/>
  <c r="D60" i="3" s="1"/>
  <c r="W59" i="1"/>
  <c r="D59" i="3" s="1"/>
  <c r="W58" i="1"/>
  <c r="D58" i="3" s="1"/>
  <c r="W57" i="1"/>
  <c r="D57" i="3" s="1"/>
  <c r="W56" i="1"/>
  <c r="D56" i="3" s="1"/>
  <c r="W55" i="1"/>
  <c r="D55" i="3" s="1"/>
  <c r="W54" i="1"/>
  <c r="D54" i="3" s="1"/>
  <c r="W53" i="1"/>
  <c r="D53" i="3" s="1"/>
  <c r="W52" i="1"/>
  <c r="D52" i="3" s="1"/>
  <c r="W51" i="1"/>
  <c r="D51" i="3" s="1"/>
  <c r="W50" i="1"/>
  <c r="D50" i="3" s="1"/>
  <c r="W49" i="1"/>
  <c r="D49" i="3" s="1"/>
  <c r="W48" i="1"/>
  <c r="D48" i="3" s="1"/>
  <c r="W47" i="1"/>
  <c r="D47" i="3" s="1"/>
  <c r="W46" i="1"/>
  <c r="D46" i="3" s="1"/>
  <c r="W45" i="1"/>
  <c r="D45" i="3" s="1"/>
  <c r="W44" i="1"/>
  <c r="D44" i="3" s="1"/>
  <c r="W43" i="1"/>
  <c r="D43" i="3" s="1"/>
  <c r="W42" i="1"/>
  <c r="D42" i="3" s="1"/>
  <c r="W41" i="1"/>
  <c r="D41" i="3" s="1"/>
  <c r="W40" i="1"/>
  <c r="D40" i="3" s="1"/>
  <c r="W39" i="1"/>
  <c r="D39" i="3" s="1"/>
  <c r="W38" i="1"/>
  <c r="D38" i="3" s="1"/>
  <c r="W37" i="1"/>
  <c r="D37" i="3" s="1"/>
  <c r="W36" i="1"/>
  <c r="D36" i="3" s="1"/>
  <c r="W35" i="1"/>
  <c r="D35" i="3" s="1"/>
  <c r="W34" i="1"/>
  <c r="D34" i="3" s="1"/>
  <c r="W33" i="1"/>
  <c r="D33" i="3" s="1"/>
  <c r="W32" i="1"/>
  <c r="D32" i="3" s="1"/>
  <c r="W31" i="1"/>
  <c r="D31" i="3" s="1"/>
  <c r="W30" i="1"/>
  <c r="D30" i="3" s="1"/>
  <c r="W29" i="1"/>
  <c r="D29" i="3" s="1"/>
  <c r="W28" i="1"/>
  <c r="D28" i="3" s="1"/>
  <c r="W27" i="1"/>
  <c r="D27" i="3" s="1"/>
  <c r="W26" i="1"/>
  <c r="D26" i="3" s="1"/>
  <c r="W25" i="1"/>
  <c r="D25" i="3" s="1"/>
  <c r="W24" i="1"/>
  <c r="D24" i="3" s="1"/>
  <c r="W23" i="1"/>
  <c r="D23" i="3" s="1"/>
  <c r="W22" i="1"/>
  <c r="D22" i="3" s="1"/>
  <c r="W21" i="1"/>
  <c r="D21" i="3" s="1"/>
  <c r="W20" i="1"/>
  <c r="D20" i="3" s="1"/>
  <c r="W19" i="1"/>
  <c r="D19" i="3" s="1"/>
  <c r="W18" i="1"/>
  <c r="D18" i="3" s="1"/>
  <c r="W17" i="1"/>
  <c r="D17" i="3" s="1"/>
  <c r="W16" i="1"/>
  <c r="D16" i="3" s="1"/>
  <c r="W15" i="1"/>
  <c r="D15" i="3" s="1"/>
  <c r="W14" i="1"/>
  <c r="D14" i="3" s="1"/>
  <c r="W13" i="1"/>
  <c r="D13" i="3" s="1"/>
  <c r="W12" i="1"/>
  <c r="D12" i="3" s="1"/>
  <c r="W11" i="1"/>
  <c r="D11" i="3" s="1"/>
  <c r="W10" i="1"/>
  <c r="D10" i="3" s="1"/>
  <c r="W9" i="1"/>
  <c r="D9" i="3" s="1"/>
  <c r="W8" i="1"/>
  <c r="D8" i="3" s="1"/>
  <c r="W7" i="1"/>
  <c r="D7" i="3" s="1"/>
  <c r="W6" i="1"/>
  <c r="D6" i="3" s="1"/>
  <c r="W5" i="1"/>
  <c r="D5" i="3" s="1"/>
  <c r="W4" i="1"/>
  <c r="D4" i="3" s="1"/>
  <c r="W3" i="1"/>
  <c r="D3" i="3" s="1"/>
  <c r="W2" i="1"/>
  <c r="D2" i="3" s="1"/>
  <c r="Y2" i="1"/>
  <c r="F2" i="3" s="1"/>
  <c r="E2" i="4" l="1"/>
  <c r="G2" i="4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2" i="1" l="1"/>
  <c r="E2" i="3"/>
  <c r="F2" i="4" s="1"/>
  <c r="U2" i="1"/>
  <c r="C2" i="3"/>
  <c r="D2" i="4" s="1"/>
</calcChain>
</file>

<file path=xl/sharedStrings.xml><?xml version="1.0" encoding="utf-8"?>
<sst xmlns="http://schemas.openxmlformats.org/spreadsheetml/2006/main" count="1383" uniqueCount="224">
  <si>
    <t>Car Number</t>
  </si>
  <si>
    <t>School Name</t>
  </si>
  <si>
    <t>Front Left</t>
  </si>
  <si>
    <t>Front Right</t>
  </si>
  <si>
    <t>Rear Left</t>
  </si>
  <si>
    <t>Rear Right</t>
  </si>
  <si>
    <t>Car w/Driver</t>
  </si>
  <si>
    <t>Car Only</t>
  </si>
  <si>
    <t>Front %</t>
  </si>
  <si>
    <t>Left %</t>
  </si>
  <si>
    <t>Fuel Level</t>
  </si>
  <si>
    <t>Engine Cylinders</t>
  </si>
  <si>
    <t>Driver Weight</t>
  </si>
  <si>
    <t>Tube Frame</t>
  </si>
  <si>
    <t>Monocoque</t>
  </si>
  <si>
    <t>Aerodynamic Package</t>
  </si>
  <si>
    <t>Wheel Diameter</t>
  </si>
  <si>
    <t>Car Weight in Kg</t>
  </si>
  <si>
    <t>Driver Weight in Kg</t>
  </si>
  <si>
    <t>Frame</t>
  </si>
  <si>
    <t>Engine Disp (cc)</t>
  </si>
  <si>
    <t>Turbo</t>
  </si>
  <si>
    <t>Universitat Stuttgart</t>
  </si>
  <si>
    <t>Oregon State Univ</t>
  </si>
  <si>
    <t>Graz Technical Univ</t>
  </si>
  <si>
    <t>Univ of Michigan - Ann Arbor</t>
  </si>
  <si>
    <t>San Jose State University</t>
  </si>
  <si>
    <t>Univ of Minnesota - Twin Cities</t>
  </si>
  <si>
    <t>Rochester Institute of Technology</t>
  </si>
  <si>
    <t>Univ of Wisconsin - Madison</t>
  </si>
  <si>
    <t>Colorado Mesa University</t>
  </si>
  <si>
    <t>Michigan State Univ</t>
  </si>
  <si>
    <t>Purdue Univ - Northwest</t>
  </si>
  <si>
    <t>Ecole De Technologie Superieure</t>
  </si>
  <si>
    <t>Kettering Univ</t>
  </si>
  <si>
    <t>Ryerson Univ</t>
  </si>
  <si>
    <t>Rensselaer Polytechnic Inst</t>
  </si>
  <si>
    <t>Tennessee Tech Univ</t>
  </si>
  <si>
    <t>Lehigh Univ</t>
  </si>
  <si>
    <t>Univ of Toronto</t>
  </si>
  <si>
    <t>Univ of Florida</t>
  </si>
  <si>
    <t>York College of Pennsylvania</t>
  </si>
  <si>
    <t>Michigan Tech Univ</t>
  </si>
  <si>
    <t>Grand Valley State Univ</t>
  </si>
  <si>
    <t>Univ of Missouri</t>
  </si>
  <si>
    <t>Univ of Pittsburgh - Pittsburgh</t>
  </si>
  <si>
    <t>Louisiana State Univ</t>
  </si>
  <si>
    <t>Univ of Illinois - Urbana Champaign</t>
  </si>
  <si>
    <t>Univ of Central Florida</t>
  </si>
  <si>
    <t>Univ of Toledo</t>
  </si>
  <si>
    <t>Washington Univ - St Louis</t>
  </si>
  <si>
    <t>Penn State Univ - University Park</t>
  </si>
  <si>
    <t>Brown Univ</t>
  </si>
  <si>
    <t>US Air Force Academy</t>
  </si>
  <si>
    <t>Univ of Maryland - College Park</t>
  </si>
  <si>
    <t>Universidad Simon Bolivar</t>
  </si>
  <si>
    <t>Lawrence Technological Univ</t>
  </si>
  <si>
    <t>Georgia Institute of Technology</t>
  </si>
  <si>
    <t>Carleton Univ</t>
  </si>
  <si>
    <t>Clarkson University</t>
  </si>
  <si>
    <t>Virginia Tech</t>
  </si>
  <si>
    <t>Georgia Southern Univ</t>
  </si>
  <si>
    <t>Univ of Guelph</t>
  </si>
  <si>
    <t>Florida International Univ</t>
  </si>
  <si>
    <t>Univ of British Columbia</t>
  </si>
  <si>
    <t>Kookmin Univ</t>
  </si>
  <si>
    <t>US Naval Academy</t>
  </si>
  <si>
    <t>North Carolina State Univ - Raleigh</t>
  </si>
  <si>
    <t>Florida Atlantic Univ</t>
  </si>
  <si>
    <t>Univ of Connecticut</t>
  </si>
  <si>
    <t>Florida Inst of Tech</t>
  </si>
  <si>
    <t>Univ of Alabama - Tuscaloosa</t>
  </si>
  <si>
    <t>Wayne State Univ</t>
  </si>
  <si>
    <t>Univ of Akron</t>
  </si>
  <si>
    <t>Columbia Univ</t>
  </si>
  <si>
    <t>Univ of Michigan - Dearborn</t>
  </si>
  <si>
    <t>National Univ of Singapore</t>
  </si>
  <si>
    <t>Lakehead Univ</t>
  </si>
  <si>
    <t>Minnesota State University - Mankato</t>
  </si>
  <si>
    <t>Univ of New Hampshire</t>
  </si>
  <si>
    <t>Worcester Polytechnic Inst</t>
  </si>
  <si>
    <t>Texas Tech Univ</t>
  </si>
  <si>
    <t>Washington State Univ</t>
  </si>
  <si>
    <t>Cooper Union</t>
  </si>
  <si>
    <t>Univ of North Florida</t>
  </si>
  <si>
    <t>Univ of Cincinnati</t>
  </si>
  <si>
    <t>Kansas State Univ</t>
  </si>
  <si>
    <t>Bradley Univ</t>
  </si>
  <si>
    <t>Dalhousie Univ</t>
  </si>
  <si>
    <t>Purdue Univ - W Lafayette</t>
  </si>
  <si>
    <t>Villanova Univ</t>
  </si>
  <si>
    <t>Saginaw Valley State Univ</t>
  </si>
  <si>
    <t>Oakland University</t>
  </si>
  <si>
    <t>Mississippi State Univ</t>
  </si>
  <si>
    <t>Rutgers Univ</t>
  </si>
  <si>
    <t>Northwestern Univ</t>
  </si>
  <si>
    <t>AGH Univ of Science and Technology</t>
  </si>
  <si>
    <t>Universidad Autonoma Estado Mexico</t>
  </si>
  <si>
    <t>Duke Univ</t>
  </si>
  <si>
    <t>Western Michigan Univ</t>
  </si>
  <si>
    <t>Univ of Victoria</t>
  </si>
  <si>
    <t>Penn State Univ - Harrisburg</t>
  </si>
  <si>
    <t>Alabama A &amp; M Univ</t>
  </si>
  <si>
    <t>The Ohio State University</t>
  </si>
  <si>
    <t>Univ of Waterloo</t>
  </si>
  <si>
    <t>Temple Univ</t>
  </si>
  <si>
    <t>Univ of Nebraska - Lincoln</t>
  </si>
  <si>
    <t>Univ of Kansas - Lawrence</t>
  </si>
  <si>
    <t>South Dakota State Univ</t>
  </si>
  <si>
    <t>Missouri University of Science and Tech</t>
  </si>
  <si>
    <t>Univ of South Florida</t>
  </si>
  <si>
    <t>Fuel</t>
  </si>
  <si>
    <t>FULL</t>
  </si>
  <si>
    <t>HALF</t>
  </si>
  <si>
    <t>EMPTY</t>
  </si>
  <si>
    <t>Aero</t>
  </si>
  <si>
    <t>None</t>
  </si>
  <si>
    <t>Wings Only</t>
  </si>
  <si>
    <t>Full Package</t>
  </si>
  <si>
    <t>&gt;4</t>
  </si>
  <si>
    <t>Wheel Size</t>
  </si>
  <si>
    <t>10"</t>
  </si>
  <si>
    <t>13"</t>
  </si>
  <si>
    <t>No</t>
  </si>
  <si>
    <t>Yes, No Cooler</t>
  </si>
  <si>
    <t>Yes, Cooler</t>
  </si>
  <si>
    <t>Tray Only</t>
  </si>
  <si>
    <t>Other</t>
  </si>
  <si>
    <t>Wheelbase</t>
  </si>
  <si>
    <t>Car w Driver</t>
  </si>
  <si>
    <t>Front #</t>
  </si>
  <si>
    <t>Left #</t>
  </si>
  <si>
    <t>CAR NUMBER FOR LABEL PRINT</t>
  </si>
  <si>
    <t>Hybrid</t>
  </si>
  <si>
    <t>TOTAL NUMBER OF CARS SCALED</t>
  </si>
  <si>
    <t>Mean Weight (all cars)</t>
  </si>
  <si>
    <t>SD Weight (all cars)</t>
  </si>
  <si>
    <t>Min Weight (all cars)</t>
  </si>
  <si>
    <t>Max Weight (all cars)</t>
  </si>
  <si>
    <t>5% Weight (all cars)</t>
  </si>
  <si>
    <t>ALL CARS</t>
  </si>
  <si>
    <t>Mean</t>
  </si>
  <si>
    <t>SD</t>
  </si>
  <si>
    <t>Max</t>
  </si>
  <si>
    <t>Min</t>
  </si>
  <si>
    <t>95% Weight (all cars)</t>
  </si>
  <si>
    <t># singles</t>
  </si>
  <si>
    <t># fours</t>
  </si>
  <si>
    <t># twin</t>
  </si>
  <si>
    <t># triple</t>
  </si>
  <si>
    <t>450cc or less</t>
  </si>
  <si>
    <t>451cc to 610cc</t>
  </si>
  <si>
    <t>more than 611cc</t>
  </si>
  <si>
    <t>Singles</t>
  </si>
  <si>
    <t>Twins</t>
  </si>
  <si>
    <t>Triple</t>
  </si>
  <si>
    <t>Fours</t>
  </si>
  <si>
    <t>Full Aero</t>
  </si>
  <si>
    <t>No Aero</t>
  </si>
  <si>
    <t>Ecole Polytechnique Montreal</t>
  </si>
  <si>
    <t>Florida A&amp;M Univ/Florida State Univ</t>
  </si>
  <si>
    <t>Pellissippi State Community College</t>
  </si>
  <si>
    <t>Clemson Univ</t>
  </si>
  <si>
    <t>Univ of Kentucky</t>
  </si>
  <si>
    <t>IPN - UPIITA</t>
  </si>
  <si>
    <t>Vaughn College of Aeronautics</t>
  </si>
  <si>
    <t>Univ of Louisiana - Lafayette</t>
  </si>
  <si>
    <t>Kennesaw State University</t>
  </si>
  <si>
    <t>Queen's Univ</t>
  </si>
  <si>
    <t>Univ of Puerto Rico-Mayaquez</t>
  </si>
  <si>
    <t>Old Dominion Univ</t>
  </si>
  <si>
    <t>Hope College</t>
  </si>
  <si>
    <t>Univ of British Columbia - Okanagan</t>
  </si>
  <si>
    <t>Wroclaw University of Technology</t>
  </si>
  <si>
    <t>Coburg University of Applied Sciences</t>
  </si>
  <si>
    <t>Universite Du Quebec a Trois-Rivieres</t>
  </si>
  <si>
    <t>Univ of Louisville</t>
  </si>
  <si>
    <t>Universidad Metropolitana</t>
  </si>
  <si>
    <t>South Dakota School of Mines &amp; Tech</t>
  </si>
  <si>
    <t>Binghamton Univ</t>
  </si>
  <si>
    <t>West Virginia Univ</t>
  </si>
  <si>
    <t>Polytechnic Univ of Puerto Rico</t>
  </si>
  <si>
    <t>CEFET-MG</t>
  </si>
  <si>
    <t>Time</t>
  </si>
  <si>
    <t>Scaled?</t>
  </si>
  <si>
    <t>Team Number</t>
  </si>
  <si>
    <t>Team Name</t>
  </si>
  <si>
    <t>8:30AM</t>
  </si>
  <si>
    <t>Queue</t>
  </si>
  <si>
    <t>A</t>
  </si>
  <si>
    <t>B</t>
  </si>
  <si>
    <t>H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</si>
  <si>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</si>
  <si>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</si>
  <si>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</si>
  <si>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</si>
  <si>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</si>
  <si>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</si>
  <si>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</si>
  <si>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</si>
  <si>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</si>
  <si>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</si>
  <si>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</si>
  <si>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</si>
  <si>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9:30AM</t>
  </si>
  <si>
    <t>10:30AM</t>
  </si>
  <si>
    <t>12:30PM</t>
  </si>
  <si>
    <t>1:30PM</t>
  </si>
  <si>
    <t>2:30PM</t>
  </si>
  <si>
    <t>3:30PM</t>
  </si>
  <si>
    <t>4:30PM</t>
  </si>
  <si>
    <t>Car Weight</t>
  </si>
  <si>
    <t>No Paddock</t>
  </si>
  <si>
    <t>No Car</t>
  </si>
  <si>
    <t>VOID</t>
  </si>
  <si>
    <t>VOID2</t>
  </si>
  <si>
    <t>(blank)</t>
  </si>
  <si>
    <t>Grand Total</t>
  </si>
  <si>
    <t>Min of Car Only</t>
  </si>
  <si>
    <t>Number of Cylinders</t>
  </si>
  <si>
    <t>Average of Car Only</t>
  </si>
  <si>
    <t>Max of Car Only</t>
  </si>
  <si>
    <t>Design Queue</t>
  </si>
  <si>
    <t>Design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</si>
</sst>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10" fontId="0" fillId="0" borderId="0" xfId="1" applyNumberFormat="1" applyFont="1"/>
    <xf numFmtId="164" fontId="0" fillId="0" borderId="0" xfId="0" applyNumberFormat="1"/>
    <xf numFmtId="1" fontId="0" fillId="0" borderId="0" xfId="1" applyNumberFormat="1" applyFont="1"/>
    <xf numFmtId="0" fontId="2" fillId="0" borderId="0" xfId="0" applyFont="1"/>
    <xf numFmtId="2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0" fontId="3" fillId="0" borderId="0" xfId="1" applyNumberFormat="1" applyFont="1" applyFill="1"/>
    <xf numFmtId="1" fontId="3" fillId="0" borderId="0" xfId="1" applyNumberFormat="1" applyFont="1" applyFill="1"/>
    <xf numFmtId="10" fontId="0" fillId="0" borderId="0" xfId="1" applyNumberFormat="1" applyFont="1" applyFill="1"/>
    <xf numFmtId="1" fontId="0" fillId="0" borderId="0" xfId="1" applyNumberFormat="1" applyFont="1" applyFill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10" fontId="0" fillId="3" borderId="0" xfId="1" applyNumberFormat="1" applyFont="1" applyFill="1"/>
    <xf numFmtId="1" fontId="0" fillId="3" borderId="0" xfId="1" applyNumberFormat="1" applyFont="1" applyFill="1"/>
    <xf numFmtId="0" fontId="0" fillId="4" borderId="0" xfId="0" applyFill="1"/>
    <xf numFmtId="0" fontId="3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2"/>
      </font>
      <fill>
        <patternFill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W" refreshedDate="43594.597026041665" createdVersion="4" refreshedVersion="4" minRefreshableVersion="3" recordCount="119" xr:uid="{00000000-000A-0000-FFFF-FFFF02000000}">
  <cacheSource type="worksheet">
    <worksheetSource ref="A1:Y120" sheet="Scales Input Table"/>
  </cacheSource>
  <cacheFields count="25">
    <cacheField name="Car Number" numFmtId="0">
      <sharedItems containsString="0" containsBlank="1" containsNumber="1" containsInteger="1" minValue="1" maxValue="139"/>
    </cacheField>
    <cacheField name="School Name" numFmtId="0">
      <sharedItems containsBlank="1"/>
    </cacheField>
    <cacheField name="Front Left" numFmtId="0">
      <sharedItems containsString="0" containsBlank="1" containsNumber="1" containsInteger="1" minValue="66" maxValue="224"/>
    </cacheField>
    <cacheField name="Front Right" numFmtId="0">
      <sharedItems containsString="0" containsBlank="1" containsNumber="1" containsInteger="1" minValue="107" maxValue="274"/>
    </cacheField>
    <cacheField name="Rear Left" numFmtId="0">
      <sharedItems containsString="0" containsBlank="1" containsNumber="1" containsInteger="1" minValue="111" maxValue="260"/>
    </cacheField>
    <cacheField name="Rear Right" numFmtId="0">
      <sharedItems containsString="0" containsBlank="1" containsNumber="1" containsInteger="1" minValue="102" maxValue="193"/>
    </cacheField>
    <cacheField name="Car w/Driver" numFmtId="0">
      <sharedItems containsString="0" containsBlank="1" containsNumber="1" containsInteger="1" minValue="472" maxValue="898"/>
    </cacheField>
    <cacheField name="VOID" numFmtId="0">
      <sharedItems containsNonDate="0" containsString="0" containsBlank="1"/>
    </cacheField>
    <cacheField name="Car Only" numFmtId="0">
      <sharedItems containsString="0" containsBlank="1" containsNumber="1" containsInteger="1" minValue="323" maxValue="712"/>
    </cacheField>
    <cacheField name="Fuel Level" numFmtId="0">
      <sharedItems containsBlank="1"/>
    </cacheField>
    <cacheField name="VOID2" numFmtId="0">
      <sharedItems containsNonDate="0" containsString="0" containsBlank="1"/>
    </cacheField>
    <cacheField name="Driver Weight" numFmtId="0">
      <sharedItems containsBlank="1" containsMixedTypes="1" containsNumber="1" containsInteger="1" minValue="116" maxValue="237"/>
    </cacheField>
    <cacheField name="Engine Cylinders" numFmtId="0">
      <sharedItems containsString="0" containsBlank="1" containsNumber="1" containsInteger="1" minValue="1" maxValue="4" count="5">
        <n v="4"/>
        <n v="1"/>
        <n v="2"/>
        <m/>
        <n v="3"/>
      </sharedItems>
    </cacheField>
    <cacheField name="Engine Disp (cc)" numFmtId="0">
      <sharedItems containsString="0" containsBlank="1" containsNumber="1" minValue="449" maxValue="693"/>
    </cacheField>
    <cacheField name="Turbo" numFmtId="0">
      <sharedItems containsBlank="1"/>
    </cacheField>
    <cacheField name="Frame" numFmtId="0">
      <sharedItems containsBlank="1"/>
    </cacheField>
    <cacheField name="Aerodynamic Package" numFmtId="0">
      <sharedItems containsBlank="1"/>
    </cacheField>
    <cacheField name="Wheel Diameter" numFmtId="0">
      <sharedItems containsBlank="1"/>
    </cacheField>
    <cacheField name="Wheelbase" numFmtId="0">
      <sharedItems containsString="0" containsBlank="1" containsNumber="1" minValue="60" maxValue="70"/>
    </cacheField>
    <cacheField name="Car Weight in Kg" numFmtId="164">
      <sharedItems containsSemiMixedTypes="0" containsString="0" containsNumber="1" minValue="0" maxValue="322.95750399999997"/>
    </cacheField>
    <cacheField name="Driver Weight in Kg" numFmtId="164">
      <sharedItems containsMixedTypes="1" containsNumber="1" minValue="0" maxValue="107.501304"/>
    </cacheField>
    <cacheField name="Front %" numFmtId="10">
      <sharedItems containsMixedTypes="1" containsNumber="1" minValue="0.42857142857142855" maxValue="0.55000000000000004"/>
    </cacheField>
    <cacheField name="Front #" numFmtId="1">
      <sharedItems containsSemiMixedTypes="0" containsString="0" containsNumber="1" containsInteger="1" minValue="0" maxValue="468"/>
    </cacheField>
    <cacheField name="Left %" numFmtId="10">
      <sharedItems containsMixedTypes="1" containsNumber="1" minValue="0.48403361344537815" maxValue="0.51342812006319116"/>
    </cacheField>
    <cacheField name="Left #" numFmtId="1">
      <sharedItems containsSemiMixedTypes="0" containsString="0" containsNumber="1" containsInteger="1" minValue="0" maxValue="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n v="1"/>
    <s v="Universitat Stuttgart"/>
    <n v="120"/>
    <n v="161"/>
    <n v="158"/>
    <n v="119"/>
    <n v="558"/>
    <m/>
    <n v="383"/>
    <s v="HALF"/>
    <m/>
    <n v="175"/>
    <x v="0"/>
    <n v="599"/>
    <s v="No"/>
    <s v="Hybrid"/>
    <s v="Full Package"/>
    <s v="10&quot;"/>
    <n v="64.173228346456696"/>
    <n v="173.72573600000001"/>
    <n v="79.378600000000006"/>
    <n v="0.50358422939068104"/>
    <n v="281"/>
    <n v="0.49820788530465948"/>
    <n v="278"/>
  </r>
  <r>
    <n v="2"/>
    <s v="Graz Technical Univ"/>
    <n v="102"/>
    <n v="130"/>
    <n v="152"/>
    <n v="128"/>
    <n v="511"/>
    <m/>
    <n v="342"/>
    <s v="HALF"/>
    <m/>
    <n v="169"/>
    <x v="1"/>
    <n v="510"/>
    <s v="No"/>
    <s v="Monocoque"/>
    <s v="Full Package"/>
    <s v="10&quot;"/>
    <n v="61.023622047244096"/>
    <n v="155.12846400000001"/>
    <n v="76.657048000000003"/>
    <n v="0.45401174168297453"/>
    <n v="232"/>
    <n v="0.49706457925636005"/>
    <n v="254"/>
  </r>
  <r>
    <n v="5"/>
    <s v="Ecole De Technologie Superieure"/>
    <n v="113"/>
    <n v="107"/>
    <n v="123"/>
    <n v="130"/>
    <n v="472"/>
    <m/>
    <n v="325"/>
    <s v="HALF"/>
    <m/>
    <n v="147"/>
    <x v="1"/>
    <n v="449"/>
    <s v="Yes, No Cooler"/>
    <s v="Monocoque"/>
    <s v="Wings Only"/>
    <s v="10&quot;"/>
    <n v="60.25"/>
    <n v="147.41739999999999"/>
    <n v="66.678023999999994"/>
    <n v="0.46610169491525422"/>
    <n v="220"/>
    <n v="0.5"/>
    <n v="236"/>
  </r>
  <r>
    <n v="6"/>
    <s v="Univ of Akron"/>
    <n v="142"/>
    <n v="152"/>
    <n v="132"/>
    <n v="129"/>
    <n v="555"/>
    <m/>
    <n v="373"/>
    <s v="HALF"/>
    <m/>
    <n v="182"/>
    <x v="1"/>
    <n v="450"/>
    <s v="No"/>
    <s v="Hybrid"/>
    <s v="Full Package"/>
    <s v="13&quot;"/>
    <n v="60.2"/>
    <n v="169.18981600000001"/>
    <n v="82.553743999999995"/>
    <n v="0.52972972972972976"/>
    <n v="294"/>
    <n v="0.4936936936936937"/>
    <n v="274"/>
  </r>
  <r>
    <n v="7"/>
    <s v="Carleton Univ"/>
    <n v="119"/>
    <n v="135"/>
    <n v="137"/>
    <n v="125"/>
    <n v="518"/>
    <m/>
    <n v="358"/>
    <s v="EMPTY"/>
    <m/>
    <n v="160"/>
    <x v="1"/>
    <n v="450"/>
    <s v="No"/>
    <s v="Tube Frame"/>
    <s v="Full Package"/>
    <s v="10&quot;"/>
    <n v="61"/>
    <n v="162.38593599999999"/>
    <n v="72.574719999999999"/>
    <n v="0.49034749034749037"/>
    <n v="254"/>
    <n v="0.49420849420849422"/>
    <n v="256"/>
  </r>
  <r>
    <n v="8"/>
    <s v="Univ of Wisconsin - Madison"/>
    <n v="127"/>
    <n v="126"/>
    <n v="148"/>
    <n v="144"/>
    <n v="545"/>
    <m/>
    <n v="363"/>
    <s v="EMPTY"/>
    <m/>
    <n v="182"/>
    <x v="1"/>
    <n v="449"/>
    <s v="Yes, No Cooler"/>
    <s v="Hybrid"/>
    <s v="Wings Only"/>
    <s v="10&quot;"/>
    <n v="63"/>
    <n v="164.653896"/>
    <n v="82.553743999999995"/>
    <n v="0.46422018348623856"/>
    <n v="253"/>
    <n v="0.50458715596330272"/>
    <n v="275"/>
  </r>
  <r>
    <n v="9"/>
    <s v="Univ of Michigan - Ann Arbor"/>
    <n v="134"/>
    <n v="154"/>
    <n v="171"/>
    <n v="157"/>
    <n v="616"/>
    <m/>
    <n v="433"/>
    <s v="EMPTY"/>
    <m/>
    <n v="183"/>
    <x v="0"/>
    <n v="599"/>
    <s v="Yes, No Cooler"/>
    <s v="Hybrid"/>
    <s v="Full Package"/>
    <s v="10&quot;"/>
    <n v="61"/>
    <n v="196.40533600000001"/>
    <n v="83.007335999999995"/>
    <n v="0.46753246753246752"/>
    <n v="288"/>
    <n v="0.49512987012987014"/>
    <n v="305"/>
  </r>
  <r>
    <n v="10"/>
    <s v="AGH Univ of Science and Technology"/>
    <n v="121"/>
    <n v="139"/>
    <n v="172"/>
    <n v="154"/>
    <n v="586"/>
    <m/>
    <n v="427"/>
    <s v="FULL"/>
    <m/>
    <n v="159"/>
    <x v="0"/>
    <n v="599"/>
    <s v="No"/>
    <s v="Tube Frame"/>
    <s v="Wings Only"/>
    <s v="10&quot;"/>
    <n v="61.417322834645674"/>
    <n v="193.683784"/>
    <n v="72.121127999999999"/>
    <n v="0.44368600682593856"/>
    <n v="260"/>
    <n v="0.5"/>
    <n v="293"/>
  </r>
  <r>
    <n v="11"/>
    <s v="Michigan State Univ"/>
    <n v="139"/>
    <n v="161"/>
    <n v="162"/>
    <n v="137"/>
    <n v="599"/>
    <m/>
    <n v="427"/>
    <s v="HALF"/>
    <m/>
    <n v="172"/>
    <x v="0"/>
    <n v="599"/>
    <s v="No"/>
    <s v="Hybrid"/>
    <s v="Full Package"/>
    <s v="10&quot;"/>
    <n v="60.5"/>
    <n v="193.683784"/>
    <n v="78.017824000000005"/>
    <n v="0.5008347245409015"/>
    <n v="300"/>
    <n v="0.5025041736227045"/>
    <n v="301"/>
  </r>
  <r>
    <n v="12"/>
    <s v="Purdue Univ - W Lafayette"/>
    <n v="139"/>
    <n v="167"/>
    <n v="169"/>
    <n v="138"/>
    <n v="612"/>
    <m/>
    <n v="455"/>
    <s v="HALF"/>
    <m/>
    <n v="157"/>
    <x v="0"/>
    <n v="599"/>
    <s v="No"/>
    <s v="Tube Frame"/>
    <s v="Full Package"/>
    <s v="10&quot;"/>
    <n v="61"/>
    <n v="206.38435999999999"/>
    <n v="71.213943999999998"/>
    <n v="0.5"/>
    <n v="306"/>
    <n v="0.50326797385620914"/>
    <n v="308"/>
  </r>
  <r>
    <n v="14"/>
    <s v="Ecole Polytechnique Montreal"/>
    <n v="145"/>
    <n v="165"/>
    <n v="161"/>
    <n v="141"/>
    <n v="613"/>
    <m/>
    <n v="410"/>
    <s v="EMPTY"/>
    <m/>
    <n v="203"/>
    <x v="1"/>
    <n v="449"/>
    <s v="No"/>
    <s v="Tube Frame"/>
    <s v="Wings Only"/>
    <s v="10&quot;"/>
    <n v="62.165354330708666"/>
    <n v="185.97272000000001"/>
    <n v="92.079176000000004"/>
    <n v="0.50570962479608483"/>
    <n v="310"/>
    <n v="0.49918433931484502"/>
    <n v="306"/>
  </r>
  <r>
    <n v="16"/>
    <s v="Kookmin Univ"/>
    <n v="119"/>
    <n v="165"/>
    <n v="174"/>
    <n v="131"/>
    <n v="590"/>
    <m/>
    <n v="463"/>
    <s v="EMPTY"/>
    <m/>
    <n v="127"/>
    <x v="0"/>
    <n v="600"/>
    <s v="No"/>
    <s v="Hybrid"/>
    <s v="Full Package"/>
    <s v="10&quot;"/>
    <n v="60.236220472440948"/>
    <n v="210.01309599999999"/>
    <n v="57.606183999999999"/>
    <n v="0.48135593220338985"/>
    <n v="284"/>
    <n v="0.49661016949152542"/>
    <n v="293"/>
  </r>
  <r>
    <n v="17"/>
    <s v="Bradley Univ"/>
    <n v="176"/>
    <n v="165"/>
    <n v="169"/>
    <n v="165"/>
    <n v="674"/>
    <m/>
    <n v="511"/>
    <s v="EMPTY"/>
    <m/>
    <n v="163"/>
    <x v="2"/>
    <n v="479"/>
    <s v="No"/>
    <s v="Tube Frame"/>
    <s v="None"/>
    <s v="13&quot;"/>
    <n v="63"/>
    <n v="231.78551200000001"/>
    <n v="73.935496000000001"/>
    <n v="0.50593471810089019"/>
    <n v="341"/>
    <n v="0.51186943620178038"/>
    <n v="345"/>
  </r>
  <r>
    <n v="18"/>
    <s v="Univ of Alabama - Tuscaloosa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19"/>
    <s v="North Carolina State Univ - Raleigh"/>
    <n v="143"/>
    <n v="165"/>
    <n v="165"/>
    <n v="153"/>
    <n v="625"/>
    <m/>
    <n v="466"/>
    <s v="EMPTY"/>
    <m/>
    <n v="159"/>
    <x v="0"/>
    <n v="600"/>
    <s v="No"/>
    <s v="Tube Frame"/>
    <s v="Full Package"/>
    <s v="10&quot;"/>
    <n v="61"/>
    <n v="211.37387200000001"/>
    <n v="72.121127999999999"/>
    <n v="0.49280000000000002"/>
    <n v="308"/>
    <n v="0.49280000000000002"/>
    <n v="308"/>
  </r>
  <r>
    <n v="20"/>
    <s v="Florida Inst of Tech"/>
    <n v="163"/>
    <n v="186"/>
    <n v="193"/>
    <n v="181"/>
    <n v="723"/>
    <m/>
    <n v="536"/>
    <s v="HALF"/>
    <m/>
    <n v="187"/>
    <x v="0"/>
    <n v="599"/>
    <s v="No"/>
    <s v="Tube Frame"/>
    <s v="Wings Only"/>
    <s v="10&quot;"/>
    <n v="65"/>
    <n v="243.12531200000001"/>
    <n v="84.821703999999997"/>
    <n v="0.48271092669432919"/>
    <n v="349"/>
    <n v="0.49239280774550487"/>
    <n v="356"/>
  </r>
  <r>
    <n v="21"/>
    <s v="Univ of Florida"/>
    <n v="144"/>
    <n v="156"/>
    <n v="175"/>
    <n v="159"/>
    <n v="633"/>
    <m/>
    <n v="474"/>
    <s v="HALF"/>
    <m/>
    <n v="159"/>
    <x v="0"/>
    <n v="599"/>
    <s v="No"/>
    <s v="Tube Frame"/>
    <s v="Full Package"/>
    <s v="13&quot;"/>
    <n v="61"/>
    <n v="215.00260800000001"/>
    <n v="72.121127999999999"/>
    <n v="0.47393364928909953"/>
    <n v="300"/>
    <n v="0.50394944707740918"/>
    <n v="319"/>
  </r>
  <r>
    <n v="23"/>
    <s v="Rensselaer Polytechnic Inst"/>
    <n v="123"/>
    <n v="151"/>
    <n v="159"/>
    <n v="138"/>
    <n v="571"/>
    <m/>
    <n v="433"/>
    <s v="HALF"/>
    <m/>
    <n v="138"/>
    <x v="0"/>
    <n v="599"/>
    <s v="No"/>
    <s v="Tube Frame"/>
    <s v="Wings Only"/>
    <s v="10&quot;"/>
    <n v="60.5"/>
    <n v="196.40533600000001"/>
    <n v="62.595695999999997"/>
    <n v="0.47985989492119091"/>
    <n v="274"/>
    <n v="0.49387040280210159"/>
    <n v="282"/>
  </r>
  <r>
    <n v="24"/>
    <s v="Univ of Toledo"/>
    <n v="124"/>
    <n v="144"/>
    <n v="138"/>
    <n v="132"/>
    <n v="538"/>
    <m/>
    <n v="386"/>
    <s v="EMPTY"/>
    <m/>
    <n v="152"/>
    <x v="1"/>
    <n v="450"/>
    <s v="No"/>
    <s v="Tube Frame"/>
    <s v="Wings Only"/>
    <s v="10&quot;"/>
    <n v="60"/>
    <n v="175.086512"/>
    <n v="68.945983999999996"/>
    <n v="0.49814126394052044"/>
    <n v="268"/>
    <n v="0.48698884758364314"/>
    <n v="262"/>
  </r>
  <r>
    <n v="25"/>
    <s v="Florida A&amp;M Univ/Florida State Univ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26"/>
    <s v="Purdue Univ - Northwest"/>
    <n v="175"/>
    <n v="166"/>
    <n v="136"/>
    <n v="143"/>
    <n v="620"/>
    <m/>
    <n v="456"/>
    <s v="HALF"/>
    <m/>
    <n v="164"/>
    <x v="0"/>
    <n v="599"/>
    <s v="No"/>
    <s v="Tube Frame"/>
    <s v="None"/>
    <s v="10&quot;"/>
    <n v="62.519685039370081"/>
    <n v="206.837952"/>
    <n v="74.389088000000001"/>
    <n v="0.55000000000000004"/>
    <n v="341"/>
    <n v="0.50161290322580643"/>
    <n v="311"/>
  </r>
  <r>
    <n v="29"/>
    <s v="Univ of Cincinnati"/>
    <n v="140"/>
    <n v="136"/>
    <n v="143"/>
    <n v="145"/>
    <n v="564"/>
    <m/>
    <n v="421"/>
    <s v="HALF"/>
    <m/>
    <n v="143"/>
    <x v="1"/>
    <n v="478"/>
    <s v="No"/>
    <s v="Tube Frame"/>
    <s v="Wings Only"/>
    <s v="10&quot;"/>
    <n v="61"/>
    <n v="190.962232"/>
    <n v="64.863656000000006"/>
    <n v="0.48936170212765956"/>
    <n v="276"/>
    <n v="0.50177304964539005"/>
    <n v="283"/>
  </r>
  <r>
    <n v="30"/>
    <s v="Univ of New Hampshire"/>
    <n v="193"/>
    <n v="114"/>
    <n v="111"/>
    <n v="193"/>
    <n v="611"/>
    <m/>
    <n v="444"/>
    <s v="EMPTY"/>
    <m/>
    <n v="167"/>
    <x v="1"/>
    <n v="450"/>
    <s v="Yes, Cooler"/>
    <s v="Tube Frame"/>
    <s v="Full Package"/>
    <s v="10&quot;"/>
    <n v="62"/>
    <n v="201.394848"/>
    <n v="75.749864000000002"/>
    <n v="0.50245499181669395"/>
    <n v="307"/>
    <n v="0.49754500818330605"/>
    <n v="304"/>
  </r>
  <r>
    <n v="32"/>
    <s v="Pellissippi State Community College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33"/>
    <s v="Oregon State Univ"/>
    <n v="104"/>
    <n v="147"/>
    <n v="162"/>
    <n v="122"/>
    <n v="533"/>
    <m/>
    <n v="323"/>
    <s v="EMPTY"/>
    <m/>
    <n v="210"/>
    <x v="1"/>
    <n v="450"/>
    <s v="No"/>
    <s v="Monocoque"/>
    <s v="Full Package"/>
    <s v="10&quot;"/>
    <n v="60.433070866141733"/>
    <n v="146.51021599999999"/>
    <n v="95.254319999999993"/>
    <n v="0.47091932457786118"/>
    <n v="251"/>
    <n v="0.49906191369606001"/>
    <n v="266"/>
  </r>
  <r>
    <n v="34"/>
    <s v="Univ of Central Florida"/>
    <n v="153"/>
    <n v="151"/>
    <n v="164"/>
    <n v="164"/>
    <n v="631"/>
    <m/>
    <n v="468"/>
    <s v="EMPTY"/>
    <m/>
    <n v="163"/>
    <x v="0"/>
    <n v="636"/>
    <s v="No"/>
    <s v="Tube Frame"/>
    <s v="Full Package"/>
    <s v="10&quot;"/>
    <n v="62"/>
    <n v="212.28105600000001"/>
    <n v="73.935496000000001"/>
    <n v="0.48177496038034867"/>
    <n v="304"/>
    <n v="0.50237717908082413"/>
    <n v="317"/>
  </r>
  <r>
    <n v="35"/>
    <s v="Kansas State Univ"/>
    <n v="158"/>
    <n v="182"/>
    <n v="189"/>
    <n v="176"/>
    <n v="705"/>
    <m/>
    <n v="549"/>
    <s v="HALF"/>
    <m/>
    <n v="156"/>
    <x v="4"/>
    <n v="675"/>
    <s v="No"/>
    <s v="Monocoque"/>
    <s v="Full Package"/>
    <s v="10&quot;"/>
    <n v="64.5"/>
    <n v="249.022008"/>
    <n v="70.760351999999997"/>
    <n v="0.48226950354609927"/>
    <n v="340"/>
    <n v="0.49219858156028368"/>
    <n v="347"/>
  </r>
  <r>
    <n v="36"/>
    <s v="Missouri University of Science and Tech"/>
    <n v="143"/>
    <n v="182"/>
    <n v="175"/>
    <n v="142"/>
    <n v="640"/>
    <m/>
    <n v="462"/>
    <s v="HALF"/>
    <m/>
    <n v="178"/>
    <x v="0"/>
    <n v="599"/>
    <s v="No"/>
    <s v="Tube Frame"/>
    <s v="Full Package"/>
    <s v="10&quot;"/>
    <n v="64"/>
    <n v="209.559504"/>
    <n v="80.739375999999993"/>
    <n v="0.5078125"/>
    <n v="325"/>
    <n v="0.49687500000000001"/>
    <n v="318"/>
  </r>
  <r>
    <n v="37"/>
    <s v="Univ of Illinois - Urbana Champaign"/>
    <n v="105"/>
    <n v="141"/>
    <n v="187"/>
    <n v="144"/>
    <n v="574"/>
    <m/>
    <n v="426"/>
    <s v="EMPTY"/>
    <m/>
    <n v="148"/>
    <x v="0"/>
    <n v="600"/>
    <s v="No"/>
    <s v="Hybrid"/>
    <s v="Full Package"/>
    <s v="13&quot;"/>
    <n v="64"/>
    <n v="193.23019199999999"/>
    <n v="67.131615999999994"/>
    <n v="0.42857142857142855"/>
    <n v="246"/>
    <n v="0.50871080139372826"/>
    <n v="292"/>
  </r>
  <r>
    <n v="38"/>
    <s v="Brown Univ"/>
    <n v="147"/>
    <n v="156"/>
    <n v="156"/>
    <n v="144"/>
    <n v="602"/>
    <m/>
    <n v="438"/>
    <s v="EMPTY"/>
    <m/>
    <n v="164"/>
    <x v="0"/>
    <n v="599"/>
    <s v="No"/>
    <s v="Tube Frame"/>
    <s v="None"/>
    <s v="10&quot;"/>
    <n v="63"/>
    <n v="198.67329599999999"/>
    <n v="74.389088000000001"/>
    <n v="0.50332225913621265"/>
    <n v="303"/>
    <n v="0.50332225913621265"/>
    <n v="303"/>
  </r>
  <r>
    <n v="39"/>
    <s v="Univ of Missouri"/>
    <n v="164"/>
    <n v="162"/>
    <n v="171"/>
    <n v="162"/>
    <n v="660"/>
    <m/>
    <n v="471"/>
    <s v="HALF"/>
    <m/>
    <n v="189"/>
    <x v="0"/>
    <n v="600"/>
    <s v="No"/>
    <s v="Tube Frame"/>
    <s v="Wings Only"/>
    <s v="10&quot;"/>
    <n v="62.5"/>
    <n v="213.64183199999999"/>
    <n v="85.728887999999998"/>
    <n v="0.49393939393939396"/>
    <n v="326"/>
    <n v="0.50757575757575757"/>
    <n v="335"/>
  </r>
  <r>
    <n v="40"/>
    <s v="Clemson Univ"/>
    <n v="149"/>
    <n v="170"/>
    <n v="187"/>
    <n v="154"/>
    <n v="659"/>
    <m/>
    <n v="489"/>
    <s v="HALF"/>
    <m/>
    <n v="170"/>
    <x v="0"/>
    <n v="600"/>
    <s v="No"/>
    <s v="Tube Frame"/>
    <s v="Wings Only"/>
    <s v="10&quot;"/>
    <n v="61.5"/>
    <n v="221.806488"/>
    <n v="77.110640000000004"/>
    <n v="0.48406676783004554"/>
    <n v="319"/>
    <n v="0.50986342943854324"/>
    <n v="336"/>
  </r>
  <r>
    <n v="41"/>
    <s v="Grand Valley State Univ"/>
    <n v="183"/>
    <n v="206"/>
    <n v="183"/>
    <n v="162"/>
    <n v="734"/>
    <m/>
    <n v="547"/>
    <s v="EMPTY"/>
    <m/>
    <n v="187"/>
    <x v="0"/>
    <n v="599"/>
    <s v="No"/>
    <s v="Tube Frame"/>
    <s v="None"/>
    <s v="13&quot;"/>
    <n v="60"/>
    <n v="248.114824"/>
    <n v="84.821703999999997"/>
    <n v="0.52997275204359673"/>
    <n v="389"/>
    <n v="0.49863760217983649"/>
    <n v="366"/>
  </r>
  <r>
    <n v="42"/>
    <s v="Univ of Kentucky"/>
    <n v="173"/>
    <n v="169"/>
    <n v="176"/>
    <n v="172"/>
    <n v="690"/>
    <m/>
    <n v="524"/>
    <s v="HALF"/>
    <m/>
    <n v="166"/>
    <x v="0"/>
    <n v="600"/>
    <s v="No"/>
    <s v="Tube Frame"/>
    <s v="None"/>
    <s v="10&quot;"/>
    <n v="60"/>
    <n v="237.682208"/>
    <n v="75.296272000000002"/>
    <n v="0.4956521739130435"/>
    <n v="342"/>
    <n v="0.50579710144927537"/>
    <n v="349"/>
  </r>
  <r>
    <n v="43"/>
    <s v="Minnesota State University - Mankato"/>
    <n v="128"/>
    <n v="136"/>
    <n v="137"/>
    <n v="137"/>
    <n v="538"/>
    <m/>
    <n v="375"/>
    <s v="EMPTY"/>
    <m/>
    <n v="163"/>
    <x v="1"/>
    <n v="449"/>
    <s v="No"/>
    <s v="Tube Frame"/>
    <s v="None"/>
    <s v="10&quot;"/>
    <n v="61.5"/>
    <n v="170.09700000000001"/>
    <n v="73.935496000000001"/>
    <n v="0.49070631970260226"/>
    <n v="264"/>
    <n v="0.49256505576208176"/>
    <n v="265"/>
  </r>
  <r>
    <n v="44"/>
    <s v="IPN - UPIITA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46"/>
    <s v="San Jose State University"/>
    <n v="130"/>
    <n v="148"/>
    <n v="156"/>
    <n v="140"/>
    <n v="575"/>
    <m/>
    <n v="435"/>
    <s v="HALF"/>
    <m/>
    <n v="140"/>
    <x v="4"/>
    <n v="675"/>
    <s v="No"/>
    <s v="Tube Frame"/>
    <s v="Full Package"/>
    <s v="10&quot;"/>
    <n v="61.5"/>
    <n v="197.31252000000001"/>
    <n v="63.502879999999998"/>
    <n v="0.48347826086956519"/>
    <n v="278"/>
    <n v="0.49739130434782608"/>
    <n v="286"/>
  </r>
  <r>
    <n v="47"/>
    <s v="Ryerson Univ"/>
    <n v="130"/>
    <n v="146"/>
    <n v="187"/>
    <n v="173"/>
    <n v="636"/>
    <m/>
    <n v="452"/>
    <s v="HALF"/>
    <m/>
    <n v="184"/>
    <x v="0"/>
    <n v="600"/>
    <s v="No"/>
    <s v="Tube Frame"/>
    <s v="Wings Only"/>
    <s v="10&quot;"/>
    <n v="60"/>
    <n v="205.023584"/>
    <n v="83.460927999999996"/>
    <n v="0.43396226415094341"/>
    <n v="276"/>
    <n v="0.49842767295597484"/>
    <n v="317"/>
  </r>
  <r>
    <n v="48"/>
    <s v="Vaughn College of Aeronautics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49"/>
    <s v="Univ of Louisiana - Lafayette"/>
    <n v="170"/>
    <n v="183"/>
    <n v="186"/>
    <n v="171"/>
    <n v="710"/>
    <m/>
    <n v="533"/>
    <s v="HALF"/>
    <m/>
    <n v="177"/>
    <x v="0"/>
    <n v="600"/>
    <s v="No"/>
    <s v="Tube Frame"/>
    <s v="None"/>
    <s v="13&quot;"/>
    <n v="68"/>
    <n v="241.76453599999999"/>
    <n v="80.285783999999992"/>
    <n v="0.4971830985915493"/>
    <n v="353"/>
    <n v="0.50140845070422535"/>
    <n v="356"/>
  </r>
  <r>
    <n v="50"/>
    <s v="Univ of Michigan - Dearborn"/>
    <n v="145"/>
    <n v="140"/>
    <n v="143"/>
    <n v="167"/>
    <n v="595"/>
    <m/>
    <n v="445"/>
    <s v="HALF"/>
    <m/>
    <n v="150"/>
    <x v="2"/>
    <n v="499"/>
    <s v="No"/>
    <s v="Tube Frame"/>
    <s v="Full Package"/>
    <s v="10&quot;"/>
    <n v="66"/>
    <n v="201.84844000000001"/>
    <n v="68.038799999999995"/>
    <n v="0.47899159663865548"/>
    <n v="285"/>
    <n v="0.48403361344537815"/>
    <n v="288"/>
  </r>
  <r>
    <n v="51"/>
    <s v="Universidad Simon Bolivar"/>
    <n v="141"/>
    <n v="155"/>
    <n v="179"/>
    <n v="165"/>
    <n v="639"/>
    <m/>
    <n v="499"/>
    <s v="EMPTY"/>
    <m/>
    <n v="140"/>
    <x v="0"/>
    <n v="599"/>
    <s v="No"/>
    <s v="Tube Frame"/>
    <s v="Full Package"/>
    <s v="13&quot;"/>
    <n v="61.023622047244096"/>
    <n v="226.34240800000001"/>
    <n v="63.502879999999998"/>
    <n v="0.46322378716744916"/>
    <n v="296"/>
    <n v="0.50078247261345854"/>
    <n v="320"/>
  </r>
  <r>
    <n v="52"/>
    <s v="Western Michigan Univ"/>
    <n v="155"/>
    <n v="170"/>
    <n v="163"/>
    <n v="142"/>
    <n v="630"/>
    <m/>
    <n v="474"/>
    <s v="HALF"/>
    <m/>
    <n v="156"/>
    <x v="0"/>
    <n v="600"/>
    <s v="No"/>
    <s v="Hybrid"/>
    <s v="Full Package"/>
    <s v="10&quot;"/>
    <n v="61.023622047244096"/>
    <n v="215.00260800000001"/>
    <n v="70.760351999999997"/>
    <n v="0.51587301587301593"/>
    <n v="325"/>
    <n v="0.50476190476190474"/>
    <n v="318"/>
  </r>
  <r>
    <n v="54"/>
    <s v="Michigan Tech Univ"/>
    <n v="179"/>
    <n v="190"/>
    <n v="157"/>
    <n v="155"/>
    <n v="681"/>
    <m/>
    <n v="503"/>
    <s v="EMPTY"/>
    <m/>
    <n v="178"/>
    <x v="2"/>
    <n v="499"/>
    <s v="Yes, Cooler"/>
    <s v="Tube Frame"/>
    <s v="Full Package"/>
    <s v="10&quot;"/>
    <n v="61"/>
    <n v="228.15677600000001"/>
    <n v="80.739375999999993"/>
    <n v="0.54185022026431717"/>
    <n v="369"/>
    <n v="0.4933920704845815"/>
    <n v="336"/>
  </r>
  <r>
    <n v="55"/>
    <s v="Rutgers Univ"/>
    <n v="107"/>
    <n v="140"/>
    <n v="144"/>
    <n v="107"/>
    <n v="498"/>
    <m/>
    <n v="368"/>
    <s v="HALF"/>
    <m/>
    <n v="130"/>
    <x v="1"/>
    <n v="450"/>
    <s v="No"/>
    <s v="Tube Frame"/>
    <s v="Full Package"/>
    <s v="10&quot;"/>
    <n v="60"/>
    <n v="166.92185599999999"/>
    <n v="58.96696"/>
    <n v="0.49598393574297189"/>
    <n v="247"/>
    <n v="0.50401606425702816"/>
    <n v="251"/>
  </r>
  <r>
    <n v="56"/>
    <s v="National Univ of Singapore"/>
    <n v="117"/>
    <n v="170"/>
    <n v="183"/>
    <n v="121"/>
    <n v="591"/>
    <m/>
    <n v="468"/>
    <s v="EMPTY"/>
    <m/>
    <n v="123"/>
    <x v="0"/>
    <n v="599"/>
    <s v="No"/>
    <s v="Tube Frame"/>
    <s v="Full Package"/>
    <s v="10&quot;"/>
    <n v="60.433070866141733"/>
    <n v="212.28105600000001"/>
    <n v="55.791815999999997"/>
    <n v="0.48561759729272419"/>
    <n v="287"/>
    <n v="0.50761421319796951"/>
    <n v="300"/>
  </r>
  <r>
    <n v="58"/>
    <s v="Kennesaw State University"/>
    <n v="141"/>
    <n v="145"/>
    <n v="122"/>
    <n v="119"/>
    <n v="527"/>
    <m/>
    <n v="390"/>
    <s v="HALF"/>
    <m/>
    <n v="137"/>
    <x v="0"/>
    <n v="599"/>
    <s v="No"/>
    <s v="Tube Frame"/>
    <s v="None"/>
    <s v="10&quot;"/>
    <n v="60.5"/>
    <n v="176.90088"/>
    <n v="62.142103999999996"/>
    <n v="0.54269449715370022"/>
    <n v="286"/>
    <n v="0.49905123339658441"/>
    <n v="263"/>
  </r>
  <r>
    <n v="61"/>
    <s v="Queen's Univ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62"/>
    <s v="Univ of Minnesota - Twin Cities"/>
    <n v="136"/>
    <n v="149"/>
    <n v="166"/>
    <n v="147"/>
    <n v="598"/>
    <m/>
    <n v="448"/>
    <s v="HALF"/>
    <m/>
    <n v="150"/>
    <x v="0"/>
    <n v="600"/>
    <s v="No"/>
    <s v="Tube Frame"/>
    <s v="Full Package"/>
    <s v="10&quot;"/>
    <n v="62.99212598425197"/>
    <n v="203.209216"/>
    <n v="68.038799999999995"/>
    <n v="0.47658862876254182"/>
    <n v="285"/>
    <n v="0.50501672240802675"/>
    <n v="302"/>
  </r>
  <r>
    <n v="63"/>
    <s v="Washington Univ - St Louis"/>
    <n v="134"/>
    <n v="174"/>
    <n v="164"/>
    <n v="119"/>
    <n v="592"/>
    <m/>
    <n v="430"/>
    <s v="EMPTY"/>
    <m/>
    <n v="162"/>
    <x v="0"/>
    <n v="599"/>
    <s v="No"/>
    <s v="Tube Frame"/>
    <s v="None"/>
    <s v="10&quot;"/>
    <n v="60.5"/>
    <n v="195.04455999999999"/>
    <n v="73.481904"/>
    <n v="0.52027027027027029"/>
    <n v="308"/>
    <n v="0.5033783783783784"/>
    <n v="298"/>
  </r>
  <r>
    <n v="64"/>
    <s v="Univ of Maryland - College Park"/>
    <n v="142"/>
    <n v="161"/>
    <n v="173"/>
    <n v="153"/>
    <n v="629"/>
    <m/>
    <n v="471"/>
    <s v="EMPTY"/>
    <m/>
    <n v="158"/>
    <x v="0"/>
    <n v="599"/>
    <s v="No"/>
    <s v="Hybrid"/>
    <s v="Full Package"/>
    <s v="10&quot;"/>
    <n v="61"/>
    <n v="213.64183199999999"/>
    <n v="71.667535999999998"/>
    <n v="0.48171701112877585"/>
    <n v="303"/>
    <n v="0.50079491255961839"/>
    <n v="315"/>
  </r>
  <r>
    <n v="65"/>
    <s v="Lehigh Univ"/>
    <n v="111"/>
    <n v="133"/>
    <n v="137"/>
    <n v="119"/>
    <n v="499"/>
    <m/>
    <n v="333"/>
    <s v="EMPTY"/>
    <m/>
    <n v="166"/>
    <x v="1"/>
    <n v="450"/>
    <s v="No"/>
    <s v="Tube Frame"/>
    <s v="None"/>
    <s v="10&quot;"/>
    <n v="61.023622047244096"/>
    <n v="151.04613599999999"/>
    <n v="75.296272000000002"/>
    <n v="0.48897795591182364"/>
    <n v="244"/>
    <n v="0.4969939879759519"/>
    <n v="248"/>
  </r>
  <r>
    <n v="66"/>
    <s v="Univ of Waterloo"/>
    <n v="122"/>
    <n v="198"/>
    <n v="198"/>
    <n v="118"/>
    <n v="636"/>
    <m/>
    <n v="460"/>
    <s v="HALF"/>
    <m/>
    <n v="176"/>
    <x v="0"/>
    <n v="600"/>
    <s v="No"/>
    <s v="Tube Frame"/>
    <s v="Wings Only"/>
    <s v="10&quot;"/>
    <n v="61.417322834645674"/>
    <n v="208.65232"/>
    <n v="79.832191999999992"/>
    <n v="0.50314465408805031"/>
    <n v="320"/>
    <n v="0.50314465408805031"/>
    <n v="320"/>
  </r>
  <r>
    <n v="67"/>
    <s v="Univ of Guelph"/>
    <n v="145"/>
    <n v="188"/>
    <n v="189"/>
    <n v="138"/>
    <n v="660"/>
    <m/>
    <n v="449"/>
    <s v="FULL"/>
    <m/>
    <n v="211"/>
    <x v="0"/>
    <n v="600"/>
    <s v="No"/>
    <s v="Tube Frame"/>
    <s v="None"/>
    <s v="10&quot;"/>
    <n v="61.023622047244096"/>
    <n v="203.66280799999998"/>
    <n v="95.707911999999993"/>
    <n v="0.50454545454545452"/>
    <n v="333"/>
    <n v="0.5060606060606061"/>
    <n v="334"/>
  </r>
  <r>
    <n v="68"/>
    <s v="Penn State Univ - University Park"/>
    <n v="150"/>
    <n v="129"/>
    <n v="136"/>
    <n v="163"/>
    <n v="578"/>
    <m/>
    <n v="411"/>
    <s v="HALF"/>
    <m/>
    <n v="167"/>
    <x v="0"/>
    <n v="599"/>
    <s v="No"/>
    <s v="Hybrid"/>
    <s v="Full Package"/>
    <s v="10&quot;"/>
    <n v="61"/>
    <n v="186.426312"/>
    <n v="75.749864000000002"/>
    <n v="0.48269896193771628"/>
    <n v="279"/>
    <n v="0.49480968858131485"/>
    <n v="286"/>
  </r>
  <r>
    <n v="69"/>
    <s v="Univ of Connecticut"/>
    <n v="140"/>
    <n v="147"/>
    <n v="153"/>
    <n v="148"/>
    <n v="588"/>
    <m/>
    <n v="451"/>
    <s v="EMPTY"/>
    <m/>
    <n v="137"/>
    <x v="0"/>
    <n v="599"/>
    <s v="No"/>
    <s v="Tube Frame"/>
    <s v="Tray Only"/>
    <s v="10&quot;"/>
    <n v="62"/>
    <n v="204.56999199999998"/>
    <n v="62.142103999999996"/>
    <n v="0.48809523809523808"/>
    <n v="287"/>
    <n v="0.49829931972789115"/>
    <n v="293"/>
  </r>
  <r>
    <n v="70"/>
    <s v="Penn State Univ - Harrisburg"/>
    <n v="153"/>
    <n v="177"/>
    <n v="187"/>
    <n v="160"/>
    <n v="678"/>
    <m/>
    <n v="536"/>
    <s v="HALF"/>
    <m/>
    <n v="142"/>
    <x v="0"/>
    <n v="599"/>
    <s v="No"/>
    <s v="Tube Frame"/>
    <s v="None"/>
    <s v="10&quot;"/>
    <n v="63"/>
    <n v="243.12531200000001"/>
    <n v="64.410064000000006"/>
    <n v="0.48672566371681414"/>
    <n v="330"/>
    <n v="0.50147492625368728"/>
    <n v="340"/>
  </r>
  <r>
    <n v="71"/>
    <s v="Univ of Puerto Rico-Mayaquez"/>
    <n v="144"/>
    <n v="176"/>
    <n v="175"/>
    <n v="130"/>
    <n v="627"/>
    <m/>
    <n v="482"/>
    <s v="EMPTY"/>
    <m/>
    <n v="145"/>
    <x v="0"/>
    <n v="599"/>
    <s v="No"/>
    <s v="Tube Frame"/>
    <s v="None"/>
    <s v="13&quot;"/>
    <n v="60"/>
    <n v="218.63134399999998"/>
    <n v="65.770839999999993"/>
    <n v="0.5103668261562998"/>
    <n v="320"/>
    <n v="0.50877192982456143"/>
    <n v="319"/>
  </r>
  <r>
    <n v="72"/>
    <s v="Florida International Univ"/>
    <n v="178"/>
    <n v="159"/>
    <n v="129"/>
    <n v="154"/>
    <n v="620"/>
    <m/>
    <n v="475"/>
    <s v="HALF"/>
    <m/>
    <n v="145"/>
    <x v="1"/>
    <n v="478"/>
    <s v="No"/>
    <s v="Tube Frame"/>
    <s v="Tray Only"/>
    <s v="10&quot;"/>
    <n v="60.5"/>
    <n v="215.4562"/>
    <n v="65.770839999999993"/>
    <n v="0.54354838709677422"/>
    <n v="337"/>
    <n v="0.49516129032258066"/>
    <n v="307"/>
  </r>
  <r>
    <n v="73"/>
    <s v="Louisiana State Univ"/>
    <n v="143"/>
    <n v="135"/>
    <n v="145"/>
    <n v="165"/>
    <n v="588"/>
    <m/>
    <n v="430"/>
    <s v="FULL"/>
    <m/>
    <n v="158"/>
    <x v="0"/>
    <n v="600"/>
    <s v="No"/>
    <s v="Tube Frame"/>
    <s v="Full Package"/>
    <s v="10&quot;"/>
    <n v="60.5"/>
    <n v="195.04455999999999"/>
    <n v="71.667535999999998"/>
    <n v="0.47278911564625853"/>
    <n v="278"/>
    <n v="0.48979591836734693"/>
    <n v="288"/>
  </r>
  <r>
    <n v="74"/>
    <s v="Rochester Institute of Technology"/>
    <n v="150"/>
    <n v="140"/>
    <n v="155"/>
    <n v="170"/>
    <n v="614"/>
    <m/>
    <n v="426"/>
    <s v="EMPTY"/>
    <m/>
    <n v="188"/>
    <x v="1"/>
    <n v="450"/>
    <s v="Yes, Cooler"/>
    <s v="Monocoque"/>
    <s v="Full Package"/>
    <s v="10&quot;"/>
    <n v="62"/>
    <n v="193.23019199999999"/>
    <n v="85.275295999999997"/>
    <n v="0.47231270358306188"/>
    <n v="290"/>
    <n v="0.49674267100977199"/>
    <n v="305"/>
  </r>
  <r>
    <n v="75"/>
    <s v="Old Dominion Univ"/>
    <n v="156"/>
    <n v="172"/>
    <n v="162"/>
    <n v="149"/>
    <n v="639"/>
    <m/>
    <n v="491"/>
    <s v="EMPTY"/>
    <m/>
    <n v="148"/>
    <x v="0"/>
    <n v="599"/>
    <s v="No"/>
    <s v="Tube Frame"/>
    <s v="Tray Only"/>
    <s v="13&quot;"/>
    <n v="62"/>
    <n v="222.713672"/>
    <n v="67.131615999999994"/>
    <n v="0.51330203442879496"/>
    <n v="328"/>
    <n v="0.49765258215962443"/>
    <n v="318"/>
  </r>
  <r>
    <n v="76"/>
    <s v="Hope College"/>
    <n v="188"/>
    <n v="202"/>
    <n v="181"/>
    <n v="167"/>
    <n v="739"/>
    <m/>
    <n v="599"/>
    <s v="EMPTY"/>
    <m/>
    <n v="140"/>
    <x v="0"/>
    <n v="599"/>
    <s v="No"/>
    <s v="Tube Frame"/>
    <s v="None"/>
    <s v="13&quot;"/>
    <n v="69"/>
    <n v="271.70160800000002"/>
    <n v="63.502879999999998"/>
    <n v="0.52774018944519618"/>
    <n v="390"/>
    <n v="0.49932341001353181"/>
    <n v="369"/>
  </r>
  <r>
    <n v="77"/>
    <s v="Oakland University"/>
    <n v="171"/>
    <n v="178"/>
    <n v="161"/>
    <n v="157"/>
    <n v="667"/>
    <m/>
    <n v="473"/>
    <s v="HALF"/>
    <m/>
    <n v="194"/>
    <x v="0"/>
    <n v="599"/>
    <s v="No"/>
    <s v="Tube Frame"/>
    <s v="Full Package"/>
    <s v="13&quot;"/>
    <n v="60.984251968503941"/>
    <n v="214.54901599999999"/>
    <n v="87.996848"/>
    <n v="0.52323838080959517"/>
    <n v="349"/>
    <n v="0.49775112443778113"/>
    <n v="332"/>
  </r>
  <r>
    <n v="78"/>
    <s v="Temple Univ"/>
    <n v="149"/>
    <n v="157"/>
    <n v="153"/>
    <n v="146"/>
    <n v="605"/>
    <m/>
    <n v="452"/>
    <s v="HALF"/>
    <m/>
    <n v="153"/>
    <x v="0"/>
    <n v="600"/>
    <s v="No"/>
    <s v="Tube Frame"/>
    <s v="Tray Only"/>
    <s v="13&quot;"/>
    <n v="64"/>
    <n v="205.023584"/>
    <n v="69.399575999999996"/>
    <n v="0.5057851239669422"/>
    <n v="306"/>
    <n v="0.49917355371900829"/>
    <n v="302"/>
  </r>
  <r>
    <n v="79"/>
    <s v="Georgia Southern Univ"/>
    <n v="165"/>
    <n v="151"/>
    <n v="153"/>
    <n v="171"/>
    <n v="640"/>
    <m/>
    <n v="437"/>
    <s v="FULL"/>
    <m/>
    <n v="203"/>
    <x v="0"/>
    <n v="600"/>
    <s v="No"/>
    <s v="Tube Frame"/>
    <s v="None"/>
    <s v="10&quot;"/>
    <n v="60"/>
    <n v="198.21970400000001"/>
    <n v="92.079176000000004"/>
    <n v="0.49375000000000002"/>
    <n v="316"/>
    <n v="0.49687500000000001"/>
    <n v="318"/>
  </r>
  <r>
    <n v="80"/>
    <s v="Virginia Tech"/>
    <n v="124"/>
    <n v="156"/>
    <n v="168"/>
    <n v="136"/>
    <n v="583"/>
    <m/>
    <n v="377"/>
    <s v="HALF"/>
    <m/>
    <n v="206"/>
    <x v="1"/>
    <n v="450"/>
    <s v="No"/>
    <s v="Hybrid"/>
    <s v="Full Package"/>
    <s v="10&quot;"/>
    <n v="60.5"/>
    <n v="171.00418400000001"/>
    <n v="93.439952000000005"/>
    <n v="0.48027444253859347"/>
    <n v="280"/>
    <n v="0.50085763293310459"/>
    <n v="292"/>
  </r>
  <r>
    <n v="81"/>
    <s v="Northwestern Univ"/>
    <n v="153"/>
    <n v="155"/>
    <n v="157"/>
    <n v="159"/>
    <n v="623"/>
    <m/>
    <n v="458"/>
    <s v="HALF"/>
    <m/>
    <n v="165"/>
    <x v="0"/>
    <n v="600"/>
    <s v="No"/>
    <s v="Tube Frame"/>
    <s v="Wings Only"/>
    <s v="10&quot;"/>
    <n v="60"/>
    <n v="207.745136"/>
    <n v="74.842680000000001"/>
    <n v="0.4943820224719101"/>
    <n v="308"/>
    <n v="0.49759229534510435"/>
    <n v="310"/>
  </r>
  <r>
    <n v="82"/>
    <s v="Univ of North Florida"/>
    <n v="138"/>
    <n v="148"/>
    <n v="163"/>
    <n v="150"/>
    <n v="599"/>
    <m/>
    <n v="449"/>
    <s v="EMPTY"/>
    <m/>
    <n v="150"/>
    <x v="0"/>
    <n v="599"/>
    <s v="No"/>
    <s v="Tube Frame"/>
    <s v="None"/>
    <s v="13&quot;"/>
    <n v="62"/>
    <n v="203.66280799999998"/>
    <n v="68.038799999999995"/>
    <n v="0.47746243739565941"/>
    <n v="286"/>
    <n v="0.5025041736227045"/>
    <n v="301"/>
  </r>
  <r>
    <n v="83"/>
    <s v="Univ of British Columbia - Okanagan"/>
    <n v="153"/>
    <n v="204"/>
    <n v="210"/>
    <n v="154"/>
    <n v="722"/>
    <m/>
    <n v="565"/>
    <s v="EMPTY"/>
    <m/>
    <n v="157"/>
    <x v="0"/>
    <n v="599"/>
    <s v="No"/>
    <s v="Tube Frame"/>
    <s v="Tray Only"/>
    <s v="13&quot;"/>
    <n v="70"/>
    <n v="256.27947999999998"/>
    <n v="71.213943999999998"/>
    <n v="0.49445983379501385"/>
    <n v="357"/>
    <n v="0.50277008310249305"/>
    <n v="363"/>
  </r>
  <r>
    <n v="84"/>
    <s v="Univ of Toronto"/>
    <n v="127"/>
    <n v="140"/>
    <n v="133"/>
    <n v="123"/>
    <n v="524"/>
    <m/>
    <n v="364"/>
    <s v="EMPTY"/>
    <m/>
    <n v="160"/>
    <x v="1"/>
    <n v="450"/>
    <s v="No"/>
    <s v="Hybrid"/>
    <s v="Wings Only"/>
    <s v="10&quot;"/>
    <n v="60.5"/>
    <n v="165.10748799999999"/>
    <n v="72.574719999999999"/>
    <n v="0.50954198473282442"/>
    <n v="267"/>
    <n v="0.49618320610687022"/>
    <n v="260"/>
  </r>
  <r>
    <n v="85"/>
    <s v="Wroclaw University of Technology"/>
    <n v="119"/>
    <n v="128"/>
    <n v="151"/>
    <n v="135"/>
    <n v="531"/>
    <m/>
    <n v="415"/>
    <s v="EMPTY"/>
    <m/>
    <n v="116"/>
    <x v="0"/>
    <n v="600"/>
    <s v="No"/>
    <s v="Hybrid"/>
    <s v="Full Package"/>
    <s v="10&quot;"/>
    <n v="60.039370078740163"/>
    <n v="188.24068"/>
    <n v="52.616672000000001"/>
    <n v="0.46516007532956688"/>
    <n v="247"/>
    <n v="0.50847457627118642"/>
    <n v="270"/>
  </r>
  <r>
    <n v="86"/>
    <s v="Wayne State Univ"/>
    <n v="125"/>
    <n v="153"/>
    <n v="168"/>
    <n v="142"/>
    <n v="587"/>
    <m/>
    <n v="435"/>
    <s v="FULL"/>
    <m/>
    <n v="152"/>
    <x v="0"/>
    <n v="600"/>
    <s v="No"/>
    <s v="Tube Frame"/>
    <s v="None"/>
    <s v="10&quot;"/>
    <n v="61.25"/>
    <n v="197.31252000000001"/>
    <n v="68.945983999999996"/>
    <n v="0.47359454855195909"/>
    <n v="278"/>
    <n v="0.49914821124361158"/>
    <n v="293"/>
  </r>
  <r>
    <n v="88"/>
    <s v="The Ohio State University"/>
    <n v="125"/>
    <n v="169"/>
    <n v="184"/>
    <n v="140"/>
    <n v="618"/>
    <m/>
    <n v="441"/>
    <s v="FULL"/>
    <m/>
    <n v="177"/>
    <x v="0"/>
    <n v="599"/>
    <s v="No"/>
    <s v="Monocoque"/>
    <s v="Full Package"/>
    <s v="10&quot;"/>
    <n v="63.5"/>
    <n v="200.03407200000001"/>
    <n v="80.285783999999992"/>
    <n v="0.47572815533980584"/>
    <n v="294"/>
    <n v="0.5"/>
    <n v="309"/>
  </r>
  <r>
    <n v="89"/>
    <s v="Tennessee Tech Univ"/>
    <n v="116"/>
    <n v="141"/>
    <n v="142"/>
    <n v="115"/>
    <n v="514"/>
    <m/>
    <n v="345"/>
    <s v="EMPTY"/>
    <m/>
    <n v="169"/>
    <x v="2"/>
    <n v="600"/>
    <s v="No"/>
    <s v="Tube Frame"/>
    <s v="None"/>
    <s v="10&quot;"/>
    <n v="68"/>
    <n v="156.48924"/>
    <n v="76.657048000000003"/>
    <n v="0.5"/>
    <n v="257"/>
    <n v="0.50194552529182879"/>
    <n v="258"/>
  </r>
  <r>
    <n v="90"/>
    <s v="Coburg University of Applied Sciences"/>
    <n v="127"/>
    <n v="162"/>
    <n v="172"/>
    <n v="141"/>
    <n v="602"/>
    <m/>
    <n v="401"/>
    <s v="HALF"/>
    <m/>
    <n v="201"/>
    <x v="0"/>
    <n v="599"/>
    <s v="No"/>
    <s v="Hybrid"/>
    <s v="Wings Only"/>
    <s v="10&quot;"/>
    <n v="61.220472440944889"/>
    <n v="181.89039199999999"/>
    <n v="91.171992000000003"/>
    <n v="0.48006644518272423"/>
    <n v="289"/>
    <n v="0.49667774086378735"/>
    <n v="299"/>
  </r>
  <r>
    <n v="91"/>
    <s v="Georgia Institute of Technology"/>
    <n v="129"/>
    <n v="175"/>
    <n v="181"/>
    <n v="140"/>
    <n v="624"/>
    <m/>
    <n v="479"/>
    <s v="EMPTY"/>
    <m/>
    <n v="145"/>
    <x v="0"/>
    <n v="600"/>
    <s v="No"/>
    <s v="Tube Frame"/>
    <s v="Full Package"/>
    <s v="10&quot;"/>
    <n v="60.5"/>
    <n v="217.270568"/>
    <n v="65.770839999999993"/>
    <n v="0.48717948717948717"/>
    <n v="304"/>
    <n v="0.49679487179487181"/>
    <n v="310"/>
  </r>
  <r>
    <n v="92"/>
    <s v="Univ of Victoria"/>
    <n v="148"/>
    <n v="161"/>
    <n v="171"/>
    <n v="163"/>
    <n v="643"/>
    <m/>
    <n v="466"/>
    <s v="EMPTY"/>
    <m/>
    <n v="177"/>
    <x v="0"/>
    <n v="600"/>
    <s v="No"/>
    <s v="Tube Frame"/>
    <s v="Wings Only"/>
    <s v="10&quot;"/>
    <n v="61"/>
    <n v="211.37387200000001"/>
    <n v="80.285783999999992"/>
    <n v="0.48055987558320373"/>
    <n v="309"/>
    <n v="0.49611197511664074"/>
    <n v="319"/>
  </r>
  <r>
    <n v="93"/>
    <s v="Universite Du Quebec a Trois-Rivieres"/>
    <n v="134"/>
    <n v="160"/>
    <n v="170"/>
    <n v="147"/>
    <n v="611"/>
    <m/>
    <n v="465"/>
    <s v="EMPTY"/>
    <m/>
    <n v="146"/>
    <x v="0"/>
    <n v="599"/>
    <s v="No"/>
    <s v="Tube Frame"/>
    <s v="Wings Only"/>
    <s v="13&quot;"/>
    <n v="62"/>
    <n v="210.92027999999999"/>
    <n v="66.224431999999993"/>
    <n v="0.48117839607201307"/>
    <n v="294"/>
    <n v="0.49754500818330605"/>
    <n v="304"/>
  </r>
  <r>
    <n v="94"/>
    <s v="Saginaw Valley State Univ"/>
    <n v="141"/>
    <n v="161"/>
    <n v="173"/>
    <n v="144"/>
    <n v="619"/>
    <m/>
    <n v="451"/>
    <s v="HALF"/>
    <m/>
    <n v="168"/>
    <x v="0"/>
    <n v="599"/>
    <s v="No"/>
    <s v="Tube Frame"/>
    <s v="None"/>
    <s v="10&quot;"/>
    <n v="60"/>
    <n v="204.56999199999998"/>
    <n v="76.203456000000003"/>
    <n v="0.4878836833602585"/>
    <n v="302"/>
    <n v="0.50726978998384487"/>
    <n v="314"/>
  </r>
  <r>
    <n v="95"/>
    <s v="Univ of Louisville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97"/>
    <s v="Washington State Univ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98"/>
    <s v="Universidad Metropolitana"/>
    <n v="224"/>
    <n v="198"/>
    <n v="173"/>
    <n v="193"/>
    <n v="788"/>
    <m/>
    <n v="561"/>
    <s v="EMPTY"/>
    <m/>
    <n v="227"/>
    <x v="0"/>
    <n v="599"/>
    <s v="No"/>
    <s v="Tube Frame"/>
    <s v="Wings Only"/>
    <s v="13&quot;"/>
    <n v="61.023622047244096"/>
    <n v="254.465112"/>
    <n v="102.965384"/>
    <n v="0.53553299492385786"/>
    <n v="422"/>
    <n v="0.50380710659898476"/>
    <n v="397"/>
  </r>
  <r>
    <n v="99"/>
    <s v="York College of Pennsylvania"/>
    <n v="159"/>
    <n v="172"/>
    <n v="140"/>
    <n v="132"/>
    <n v="603"/>
    <m/>
    <n v="403"/>
    <s v="EMPTY"/>
    <m/>
    <n v="200"/>
    <x v="2"/>
    <n v="450"/>
    <s v="No"/>
    <s v="Tube Frame"/>
    <s v="None"/>
    <s v="10&quot;"/>
    <n v="63"/>
    <n v="182.79757599999999"/>
    <n v="90.718400000000003"/>
    <n v="0.54892205638474301"/>
    <n v="331"/>
    <n v="0.49585406301824214"/>
    <n v="299"/>
  </r>
  <r>
    <n v="100"/>
    <s v="Clarkson University"/>
    <n v="161"/>
    <n v="173"/>
    <n v="158"/>
    <n v="149"/>
    <n v="641"/>
    <m/>
    <n v="483"/>
    <s v="FULL"/>
    <m/>
    <n v="158"/>
    <x v="0"/>
    <n v="636"/>
    <s v="No"/>
    <s v="Tube Frame"/>
    <s v="None"/>
    <s v="10&quot;"/>
    <n v="65.039370078740163"/>
    <n v="219.084936"/>
    <n v="71.667535999999998"/>
    <n v="0.52106084243369732"/>
    <n v="334"/>
    <n v="0.49765990639625585"/>
    <n v="319"/>
  </r>
  <r>
    <n v="101"/>
    <s v="Mississippi State Univ"/>
    <n v="166"/>
    <n v="130"/>
    <n v="138"/>
    <n v="165"/>
    <n v="600"/>
    <m/>
    <n v="463"/>
    <s v="HALF"/>
    <m/>
    <n v="137"/>
    <x v="2"/>
    <n v="500"/>
    <s v="Yes, No Cooler"/>
    <s v="Tube Frame"/>
    <s v="Tray Only"/>
    <s v="10&quot;"/>
    <n v="61"/>
    <n v="210.01309599999999"/>
    <n v="62.142103999999996"/>
    <n v="0.49333333333333335"/>
    <n v="296"/>
    <n v="0.50666666666666671"/>
    <n v="304"/>
  </r>
  <r>
    <n v="102"/>
    <s v="Lawrence Technological Univ"/>
    <n v="199"/>
    <n v="172"/>
    <n v="169"/>
    <n v="188"/>
    <n v="729"/>
    <m/>
    <n v="549"/>
    <s v="EMPTY"/>
    <m/>
    <n v="180"/>
    <x v="0"/>
    <n v="599.5"/>
    <s v="No"/>
    <s v="Tube Frame"/>
    <s v="Full Package"/>
    <s v="10&quot;"/>
    <n v="60.75"/>
    <n v="249.022008"/>
    <n v="81.646559999999994"/>
    <n v="0.5089163237311386"/>
    <n v="371"/>
    <n v="0.50480109739368995"/>
    <n v="368"/>
  </r>
  <r>
    <n v="103"/>
    <s v="Texas Tech Univ"/>
    <n v="138"/>
    <n v="162"/>
    <n v="166"/>
    <n v="142"/>
    <n v="608"/>
    <m/>
    <n v="431"/>
    <s v="HALF"/>
    <m/>
    <n v="177"/>
    <x v="1"/>
    <n v="450"/>
    <s v="No"/>
    <s v="Tube Frame"/>
    <s v="None"/>
    <s v="10&quot;"/>
    <n v="62"/>
    <n v="195.498152"/>
    <n v="80.285783999999992"/>
    <n v="0.49342105263157893"/>
    <n v="300"/>
    <n v="0.5"/>
    <n v="304"/>
  </r>
  <r>
    <n v="104"/>
    <s v="South Dakota School of Mines &amp; Tech"/>
    <n v="178"/>
    <n v="176"/>
    <n v="178"/>
    <n v="174"/>
    <n v="706"/>
    <m/>
    <n v="469"/>
    <s v="EMPTY"/>
    <m/>
    <n v="237"/>
    <x v="1"/>
    <n v="693"/>
    <s v="No"/>
    <s v="Tube Frame"/>
    <s v="None"/>
    <s v="10&quot;"/>
    <n v="60.236220472440948"/>
    <n v="212.73464799999999"/>
    <n v="107.501304"/>
    <n v="0.50141643059490082"/>
    <n v="354"/>
    <n v="0.50424929178470257"/>
    <n v="356"/>
  </r>
  <r>
    <n v="105"/>
    <s v="Worcester Polytechnic Inst"/>
    <n v="135"/>
    <n v="153"/>
    <n v="148"/>
    <n v="129"/>
    <n v="565"/>
    <m/>
    <n v="416"/>
    <s v="EMPTY"/>
    <m/>
    <n v="149"/>
    <x v="1"/>
    <n v="450"/>
    <s v="No"/>
    <s v="Tube Frame"/>
    <s v="None"/>
    <s v="13&quot;"/>
    <n v="60.984251968503941"/>
    <n v="188.69427200000001"/>
    <n v="67.585207999999994"/>
    <n v="0.50973451327433628"/>
    <n v="288"/>
    <n v="0.50088495575221237"/>
    <n v="283"/>
  </r>
  <r>
    <n v="106"/>
    <s v="Kettering Univ"/>
    <n v="66"/>
    <n v="152"/>
    <n v="183"/>
    <n v="102"/>
    <n v="503"/>
    <m/>
    <n v="343"/>
    <s v="HALF"/>
    <m/>
    <n v="160"/>
    <x v="1"/>
    <n v="450"/>
    <s v="Yes, No Cooler"/>
    <s v="Tube Frame"/>
    <s v="Wings Only"/>
    <s v="10&quot;"/>
    <n v="61.5"/>
    <n v="155.58205599999999"/>
    <n v="72.574719999999999"/>
    <n v="0.43339960238568587"/>
    <n v="218"/>
    <n v="0.49502982107355864"/>
    <n v="249"/>
  </r>
  <r>
    <n v="107"/>
    <s v="Univ of South Florida"/>
    <n v="107"/>
    <n v="137"/>
    <n v="176"/>
    <n v="141"/>
    <n v="561"/>
    <m/>
    <n v="437"/>
    <s v="HALF"/>
    <m/>
    <n v="124"/>
    <x v="0"/>
    <n v="599"/>
    <s v="No"/>
    <s v="Tube Frame"/>
    <s v="None"/>
    <s v="10&quot;"/>
    <n v="62"/>
    <n v="198.21970400000001"/>
    <n v="56.245407999999998"/>
    <n v="0.43493761140819964"/>
    <n v="244"/>
    <n v="0.50445632798573981"/>
    <n v="283"/>
  </r>
  <r>
    <n v="108"/>
    <s v="Colorado Mesa University"/>
    <n v="162"/>
    <n v="172"/>
    <n v="166"/>
    <n v="147"/>
    <n v="647"/>
    <m/>
    <n v="498"/>
    <s v="HALF"/>
    <m/>
    <m/>
    <x v="0"/>
    <n v="600"/>
    <s v="No"/>
    <s v="Tube Frame"/>
    <s v="None"/>
    <s v="13&quot;"/>
    <n v="62.007874015748037"/>
    <n v="225.88881599999999"/>
    <n v="0"/>
    <n v="0.51622874806800623"/>
    <n v="334"/>
    <n v="0.50695517774343124"/>
    <n v="328"/>
  </r>
  <r>
    <n v="109"/>
    <s v="US Air Force Academy"/>
    <n v="143"/>
    <n v="182"/>
    <n v="178"/>
    <n v="149"/>
    <n v="652"/>
    <m/>
    <n v="464"/>
    <s v="FULL"/>
    <m/>
    <n v="188"/>
    <x v="1"/>
    <n v="450"/>
    <s v="No"/>
    <s v="Tube Frame"/>
    <s v="Wings Only"/>
    <s v="10&quot;"/>
    <n v="62"/>
    <n v="210.466688"/>
    <n v="85.275295999999997"/>
    <n v="0.49846625766871167"/>
    <n v="325"/>
    <n v="0.49233128834355827"/>
    <n v="321"/>
  </r>
  <r>
    <n v="110"/>
    <s v="US Naval Academy"/>
    <n v="138"/>
    <n v="180"/>
    <n v="190"/>
    <n v="161"/>
    <n v="673"/>
    <m/>
    <n v="465"/>
    <s v="EMPTY"/>
    <m/>
    <n v="208"/>
    <x v="2"/>
    <n v="499"/>
    <s v="No"/>
    <s v="Tube Frame"/>
    <s v="Full Package"/>
    <s v="10&quot;"/>
    <n v="68"/>
    <n v="210.92027999999999"/>
    <n v="94.347136000000006"/>
    <n v="0.47251114413075779"/>
    <n v="318"/>
    <n v="0.48736998514115898"/>
    <n v="328"/>
  </r>
  <r>
    <n v="111"/>
    <s v="Lakehead Univ"/>
    <n v="149"/>
    <n v="181"/>
    <n v="185"/>
    <n v="156"/>
    <n v="672"/>
    <m/>
    <n v="545"/>
    <s v="FULL"/>
    <m/>
    <n v="127"/>
    <x v="0"/>
    <n v="600"/>
    <s v="No"/>
    <s v="Tube Frame"/>
    <s v="Full Package"/>
    <s v="13&quot;"/>
    <n v="64"/>
    <n v="247.20764"/>
    <n v="57.606183999999999"/>
    <n v="0.49107142857142855"/>
    <n v="330"/>
    <n v="0.49702380952380953"/>
    <n v="334"/>
  </r>
  <r>
    <n v="112"/>
    <s v="Alabama A &amp; M Univ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113"/>
    <s v="Dalhousie Univ"/>
    <n v="125"/>
    <n v="134"/>
    <n v="141"/>
    <n v="134"/>
    <n v="534"/>
    <m/>
    <n v="370"/>
    <s v="EMPTY"/>
    <m/>
    <n v="164"/>
    <x v="1"/>
    <n v="449"/>
    <s v="No"/>
    <s v="Tube Frame"/>
    <s v="None"/>
    <s v="10&quot;"/>
    <n v="61.023622047244096"/>
    <n v="167.82903999999999"/>
    <n v="74.389088000000001"/>
    <n v="0.48501872659176032"/>
    <n v="259"/>
    <n v="0.49812734082397003"/>
    <n v="266"/>
  </r>
  <r>
    <n v="114"/>
    <s v="Binghamton Univ"/>
    <n v="162"/>
    <n v="217"/>
    <n v="245"/>
    <n v="183"/>
    <n v="805"/>
    <m/>
    <n v="661"/>
    <s v="EMPTY"/>
    <m/>
    <n v="144"/>
    <x v="0"/>
    <n v="599"/>
    <s v="No"/>
    <s v="Tube Frame"/>
    <s v="None"/>
    <s v="13&quot;"/>
    <n v="65"/>
    <n v="299.82431200000002"/>
    <n v="65.317248000000006"/>
    <n v="0.47080745341614905"/>
    <n v="379"/>
    <n v="0.50559006211180124"/>
    <n v="407"/>
  </r>
  <r>
    <n v="115"/>
    <s v="Univ of British Columbia"/>
    <n v="150"/>
    <n v="173"/>
    <n v="175"/>
    <n v="135"/>
    <n v="633"/>
    <m/>
    <n v="451"/>
    <s v="HALF"/>
    <m/>
    <n v="182"/>
    <x v="0"/>
    <n v="599"/>
    <s v="No"/>
    <s v="Tube Frame"/>
    <s v="Wings Only"/>
    <s v="10&quot;"/>
    <n v="60.472440944881896"/>
    <n v="204.56999199999998"/>
    <n v="82.553743999999995"/>
    <n v="0.51026856240126384"/>
    <n v="323"/>
    <n v="0.51342812006319116"/>
    <n v="325"/>
  </r>
  <r>
    <n v="116"/>
    <s v="West Virginia Univ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117"/>
    <s v="Columbia Univ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118"/>
    <s v="Cooper Union"/>
    <n v="157"/>
    <n v="164"/>
    <n v="165"/>
    <n v="159"/>
    <n v="647"/>
    <m/>
    <n v="470"/>
    <s v="HALF"/>
    <m/>
    <n v="177"/>
    <x v="0"/>
    <n v="599"/>
    <s v="No"/>
    <s v="Tube Frame"/>
    <s v="Full Package"/>
    <s v="10&quot;"/>
    <n v="60.511811023622052"/>
    <n v="213.18824000000001"/>
    <n v="80.285783999999992"/>
    <n v="0.49613601236476046"/>
    <n v="321"/>
    <n v="0.49768160741885625"/>
    <n v="322"/>
  </r>
  <r>
    <n v="119"/>
    <s v="Duke Univ"/>
    <n v="125"/>
    <n v="146"/>
    <n v="163"/>
    <n v="140"/>
    <n v="574"/>
    <m/>
    <n v="422"/>
    <s v="FULL"/>
    <m/>
    <n v="152"/>
    <x v="2"/>
    <n v="689"/>
    <s v="No"/>
    <s v="Tube Frame"/>
    <s v="Full Package"/>
    <s v="10&quot;"/>
    <n v="60.6"/>
    <n v="191.41582399999999"/>
    <n v="68.945983999999996"/>
    <n v="0.47212543554006969"/>
    <n v="271"/>
    <n v="0.50174216027874563"/>
    <n v="288"/>
  </r>
  <r>
    <n v="120"/>
    <s v="Universidad Autonoma Estado Mexico"/>
    <m/>
    <m/>
    <m/>
    <m/>
    <m/>
    <m/>
    <m/>
    <m/>
    <m/>
    <s v=""/>
    <x v="3"/>
    <m/>
    <m/>
    <m/>
    <m/>
    <m/>
    <m/>
    <n v="0"/>
    <e v="#VALUE!"/>
    <s v=""/>
    <n v="0"/>
    <s v=""/>
    <n v="0"/>
  </r>
  <r>
    <n v="122"/>
    <s v="Florida Atlantic Univ"/>
    <n v="147"/>
    <n v="175"/>
    <n v="188"/>
    <n v="156"/>
    <n v="667"/>
    <m/>
    <n v="491"/>
    <s v="FULL"/>
    <m/>
    <n v="176"/>
    <x v="0"/>
    <n v="599"/>
    <s v="No"/>
    <s v="Tube Frame"/>
    <s v="Full Package"/>
    <s v="13&quot;"/>
    <n v="62"/>
    <n v="222.713672"/>
    <n v="79.832191999999992"/>
    <n v="0.48275862068965519"/>
    <n v="322"/>
    <n v="0.50224887556221887"/>
    <n v="335"/>
  </r>
  <r>
    <n v="123"/>
    <s v="Villanova Univ"/>
    <n v="125"/>
    <n v="153"/>
    <n v="160"/>
    <n v="130"/>
    <n v="571"/>
    <m/>
    <n v="425"/>
    <s v="EMPTY"/>
    <m/>
    <n v="146"/>
    <x v="0"/>
    <n v="599"/>
    <s v="No"/>
    <s v="Tube Frame"/>
    <s v="None"/>
    <s v="10&quot;"/>
    <n v="60"/>
    <n v="192.7766"/>
    <n v="66.224431999999993"/>
    <n v="0.48686514886164622"/>
    <n v="278"/>
    <n v="0.49912434325744309"/>
    <n v="285"/>
  </r>
  <r>
    <n v="124"/>
    <s v="Univ of Nebraska - Lincoln"/>
    <n v="155"/>
    <n v="145"/>
    <n v="165"/>
    <n v="169"/>
    <n v="634"/>
    <m/>
    <n v="464"/>
    <s v="HALF"/>
    <m/>
    <n v="170"/>
    <x v="0"/>
    <n v="636"/>
    <s v="No"/>
    <s v="Tube Frame"/>
    <s v="Wings Only"/>
    <s v="10&quot;"/>
    <n v="63.5"/>
    <n v="210.466688"/>
    <n v="77.110640000000004"/>
    <n v="0.47318611987381703"/>
    <n v="300"/>
    <n v="0.50473186119873814"/>
    <n v="320"/>
  </r>
  <r>
    <n v="125"/>
    <s v="South Dakota State Univ"/>
    <n v="143"/>
    <n v="176"/>
    <n v="178"/>
    <n v="153"/>
    <n v="649"/>
    <m/>
    <n v="467"/>
    <s v="HALF"/>
    <m/>
    <n v="182"/>
    <x v="0"/>
    <n v="599"/>
    <s v="No"/>
    <s v="Tube Frame"/>
    <s v="None"/>
    <s v="13&quot;"/>
    <n v="64"/>
    <n v="211.82746399999999"/>
    <n v="82.553743999999995"/>
    <n v="0.49152542372881358"/>
    <n v="319"/>
    <n v="0.49460708782742679"/>
    <n v="321"/>
  </r>
  <r>
    <n v="126"/>
    <s v="Univ of Kansas - Lawrence"/>
    <n v="122"/>
    <n v="159"/>
    <n v="189"/>
    <n v="144"/>
    <n v="614"/>
    <m/>
    <n v="465"/>
    <s v="EMPTY"/>
    <m/>
    <n v="149"/>
    <x v="0"/>
    <n v="599"/>
    <s v="No"/>
    <s v="Monocoque"/>
    <s v="Full Package"/>
    <s v="13&quot;"/>
    <n v="63"/>
    <n v="210.92027999999999"/>
    <n v="67.585207999999994"/>
    <n v="0.45765472312703581"/>
    <n v="281"/>
    <n v="0.50651465798045603"/>
    <n v="311"/>
  </r>
  <r>
    <n v="131"/>
    <s v="Polytechnic Univ of Puerto Rico"/>
    <n v="194"/>
    <n v="274"/>
    <n v="260"/>
    <n v="170"/>
    <n v="898"/>
    <m/>
    <n v="712"/>
    <s v="EMPTY"/>
    <m/>
    <n v="186"/>
    <x v="0"/>
    <n v="600"/>
    <s v="Yes, Cooler"/>
    <s v="Tube Frame"/>
    <s v="None"/>
    <s v="13&quot;"/>
    <n v="68.5"/>
    <n v="322.95750399999997"/>
    <n v="84.368111999999996"/>
    <n v="0.52115812917594651"/>
    <n v="468"/>
    <n v="0.50556792873051226"/>
    <n v="454"/>
  </r>
  <r>
    <n v="132"/>
    <s v="Univ of Pittsburgh - Pittsburgh"/>
    <n v="136"/>
    <n v="148"/>
    <n v="181"/>
    <n v="174"/>
    <n v="639"/>
    <m/>
    <n v="469"/>
    <s v="HALF"/>
    <m/>
    <n v="170"/>
    <x v="0"/>
    <n v="599"/>
    <s v="No"/>
    <s v="Tube Frame"/>
    <s v="Wings Only"/>
    <s v="13&quot;"/>
    <n v="63.464566929133859"/>
    <n v="212.73464799999999"/>
    <n v="77.110640000000004"/>
    <n v="0.44444444444444442"/>
    <n v="284"/>
    <n v="0.49608763693270735"/>
    <n v="317"/>
  </r>
  <r>
    <n v="139"/>
    <s v="CEFET-MG"/>
    <n v="143"/>
    <n v="161"/>
    <n v="162"/>
    <n v="147"/>
    <n v="614"/>
    <m/>
    <n v="461"/>
    <s v="EMPTY"/>
    <m/>
    <n v="153"/>
    <x v="0"/>
    <n v="599"/>
    <s v="No"/>
    <s v="Tube Frame"/>
    <s v="Full Package"/>
    <s v="10&quot;"/>
    <n v="60.629921259842526"/>
    <n v="209.10591199999999"/>
    <n v="69.399575999999996"/>
    <n v="0.49511400651465798"/>
    <n v="304"/>
    <n v="0.49674267100977199"/>
    <n v="305"/>
  </r>
  <r>
    <m/>
    <m/>
    <m/>
    <m/>
    <m/>
    <m/>
    <m/>
    <m/>
    <m/>
    <m/>
    <m/>
    <s v=""/>
    <x v="3"/>
    <m/>
    <m/>
    <m/>
    <m/>
    <m/>
    <m/>
    <n v="0"/>
    <e v="#VALUE!"/>
    <s v=""/>
    <n v="0"/>
    <s v=""/>
    <n v="0"/>
  </r>
  <r>
    <m/>
    <m/>
    <m/>
    <m/>
    <m/>
    <m/>
    <m/>
    <m/>
    <m/>
    <m/>
    <m/>
    <s v=""/>
    <x v="3"/>
    <m/>
    <m/>
    <m/>
    <m/>
    <m/>
    <m/>
    <n v="0"/>
    <e v="#VALUE!"/>
    <s v=""/>
    <n v="0"/>
    <s v=""/>
    <n v="0"/>
  </r>
  <r>
    <m/>
    <m/>
    <m/>
    <m/>
    <m/>
    <m/>
    <m/>
    <m/>
    <m/>
    <m/>
    <m/>
    <s v=""/>
    <x v="3"/>
    <m/>
    <m/>
    <m/>
    <m/>
    <m/>
    <m/>
    <n v="0"/>
    <e v="#VALUE!"/>
    <s v=""/>
    <n v="0"/>
    <s v=""/>
    <n v="0"/>
  </r>
  <r>
    <m/>
    <m/>
    <m/>
    <m/>
    <m/>
    <m/>
    <m/>
    <m/>
    <m/>
    <m/>
    <m/>
    <s v=""/>
    <x v="3"/>
    <m/>
    <m/>
    <m/>
    <m/>
    <m/>
    <m/>
    <n v="0"/>
    <e v="#VALUE!"/>
    <s v=""/>
    <n v="0"/>
    <s v=""/>
    <n v="0"/>
  </r>
  <r>
    <m/>
    <m/>
    <m/>
    <m/>
    <m/>
    <m/>
    <m/>
    <m/>
    <m/>
    <m/>
    <m/>
    <s v=""/>
    <x v="3"/>
    <m/>
    <m/>
    <m/>
    <m/>
    <m/>
    <m/>
    <n v="0"/>
    <e v="#VALUE!"/>
    <s v=""/>
    <n v="0"/>
    <s v=""/>
    <n v="0"/>
  </r>
  <r>
    <m/>
    <m/>
    <m/>
    <m/>
    <m/>
    <m/>
    <m/>
    <m/>
    <m/>
    <m/>
    <m/>
    <s v=""/>
    <x v="3"/>
    <m/>
    <m/>
    <m/>
    <m/>
    <m/>
    <m/>
    <n v="0"/>
    <e v="#VALUE!"/>
    <s v=""/>
    <n v="0"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Number of Cylinders">
  <location ref="A3:D9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" showAll="0"/>
    <pivotField showAll="0"/>
    <pivotField numFmtI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Car Only" fld="8" subtotal="min" baseField="12" baseItem="0"/>
    <dataField name="Average of Car Only" fld="8" subtotal="average" baseField="12" baseItem="0"/>
    <dataField name="Max of Car Only" fld="8" subtotal="max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048576" totalsRowShown="0">
  <autoFilter ref="A1:M1048576" xr:uid="{00000000-0009-0000-0100-000001000000}">
    <filterColumn colId="12">
      <filters>
        <filter val="4"/>
      </filters>
    </filterColumn>
  </autoFilter>
  <sortState xmlns:xlrd2="http://schemas.microsoft.com/office/spreadsheetml/2017/richdata2" ref="A2:M1048576">
    <sortCondition ref="I1:I1048576"/>
  </sortState>
  <tableColumns count="13">
    <tableColumn id="1" xr3:uid="{00000000-0010-0000-0000-000001000000}" name="Car Number"/>
    <tableColumn id="2" xr3:uid="{00000000-0010-0000-0000-000002000000}" name="School Name"/>
    <tableColumn id="3" xr3:uid="{00000000-0010-0000-0000-000003000000}" name="Front Left"/>
    <tableColumn id="4" xr3:uid="{00000000-0010-0000-0000-000004000000}" name="Front Right"/>
    <tableColumn id="5" xr3:uid="{00000000-0010-0000-0000-000005000000}" name="Rear Left"/>
    <tableColumn id="6" xr3:uid="{00000000-0010-0000-0000-000006000000}" name="Rear Right"/>
    <tableColumn id="7" xr3:uid="{00000000-0010-0000-0000-000007000000}" name="Car w/Driver"/>
    <tableColumn id="8" xr3:uid="{00000000-0010-0000-0000-000008000000}" name="VOID" dataDxfId="15"/>
    <tableColumn id="9" xr3:uid="{00000000-0010-0000-0000-000009000000}" name="Car Only"/>
    <tableColumn id="10" xr3:uid="{00000000-0010-0000-0000-00000A000000}" name="Fuel Level"/>
    <tableColumn id="11" xr3:uid="{00000000-0010-0000-0000-00000B000000}" name="VOID2" dataDxfId="14"/>
    <tableColumn id="12" xr3:uid="{00000000-0010-0000-0000-00000C000000}" name="Driver Weight"/>
    <tableColumn id="13" xr3:uid="{00000000-0010-0000-0000-00000D000000}" name="Engine Cylinde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0AD8FE-5676-4315-9A94-EC716F9D7E6C}" name="Table2" displayName="Table2" ref="A1:N114" totalsRowShown="0">
  <autoFilter ref="A1:N114" xr:uid="{F10AD8FE-5676-4315-9A94-EC716F9D7E6C}"/>
  <tableColumns count="14">
    <tableColumn id="1" xr3:uid="{6353CC25-21E2-410B-9E10-4BE1E7C9B031}" name="Car Number"/>
    <tableColumn id="2" xr3:uid="{118DA8F1-5D4A-434A-A36E-FCD6F53AE500}" name="School Name"/>
    <tableColumn id="3" xr3:uid="{3A5C13CD-E82C-441E-9713-3F7846102D6E}" name="Car Only"/>
    <tableColumn id="12" xr3:uid="{314F97C9-9E52-4D04-ACE1-CADAF76CD469}" name="Front %" dataDxfId="3">
      <calculatedColumnFormula>'Scales Input Table'!V2</calculatedColumnFormula>
    </tableColumn>
    <tableColumn id="11" xr3:uid="{D4632654-7549-476C-A4BF-C2281A7D03C2}" name="Left %" dataDxfId="2">
      <calculatedColumnFormula>'Scales Input Table'!X2</calculatedColumnFormula>
    </tableColumn>
    <tableColumn id="4" xr3:uid="{167303C5-CAD7-4E26-9C5E-7D94D99F9B94}" name="Engine Cylinders" dataDxfId="13">
      <calculatedColumnFormula>IF('Scales Input Table'!M2&gt;0,'Scales Input Table'!M2,"")</calculatedColumnFormula>
    </tableColumn>
    <tableColumn id="5" xr3:uid="{4A8BEDE3-21F6-4AB1-9728-C7BACAC557D0}" name="Engine Disp (cc)" dataDxfId="12">
      <calculatedColumnFormula>IF('Scales Input Table'!N2&gt;0,'Scales Input Table'!N2,"")</calculatedColumnFormula>
    </tableColumn>
    <tableColumn id="6" xr3:uid="{8EB2DB02-D903-49EF-9980-50C279CAB8C8}" name="Turbo" dataDxfId="11">
      <calculatedColumnFormula>IF('Scales Input Table'!O2&gt;0,'Scales Input Table'!O2,"")</calculatedColumnFormula>
    </tableColumn>
    <tableColumn id="7" xr3:uid="{7CAAA0AD-CB65-42A3-B363-56374BC018F4}" name="Frame" dataDxfId="10">
      <calculatedColumnFormula>IF('Scales Input Table'!P2&gt;0,'Scales Input Table'!P2,"")</calculatedColumnFormula>
    </tableColumn>
    <tableColumn id="8" xr3:uid="{B166F84C-6519-4066-BDAE-5934B88DF8BA}" name="Aerodynamic Package" dataDxfId="9">
      <calculatedColumnFormula>IF('Scales Input Table'!Q2&gt;0,'Scales Input Table'!Q2,"")</calculatedColumnFormula>
    </tableColumn>
    <tableColumn id="9" xr3:uid="{6B68890E-E3B6-4A2F-B6BF-90FC0252FF13}" name="Wheel Diameter" dataDxfId="8">
      <calculatedColumnFormula>IF('Scales Input Table'!R2&gt;0,'Scales Input Table'!R2,"")</calculatedColumnFormula>
    </tableColumn>
    <tableColumn id="10" xr3:uid="{07CB3F27-970B-4AA1-A808-EFC5970C607B}" name="Wheelbase" dataDxfId="7">
      <calculatedColumnFormula>IF('Scales Input Table'!S2&gt;0,'Scales Input Table'!S2,"")</calculatedColumnFormula>
    </tableColumn>
    <tableColumn id="13" xr3:uid="{F1F574DA-6C1C-4ABF-BD32-B45BC1DB2E67}" name="Design Queue" dataDxfId="1">
      <calculatedColumnFormula>_xlfn.XLOOKUP(Table2[[#This Row],[Car Number]],'Design Schedule'!$C$2:$C$121,'Design Schedule'!$B$2:$B$121)</calculatedColumnFormula>
    </tableColumn>
    <tableColumn id="14" xr3:uid="{37190E90-9F3A-46B6-B76C-2D57EF312F9F}" name="Design Time" dataDxfId="0">
      <calculatedColumnFormula>_xlfn.XLOOKUP(Table2[[#This Row],[Car Number]],'Design Schedule'!$C$2:$C$121,'Design Schedule'!$A$2:$A$121)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9"/>
  <sheetViews>
    <sheetView workbookViewId="0">
      <selection activeCell="A3" sqref="A3"/>
    </sheetView>
  </sheetViews>
  <sheetFormatPr defaultRowHeight="15" x14ac:dyDescent="0.25"/>
  <cols>
    <col min="1" max="1" width="21.85546875" bestFit="1" customWidth="1"/>
    <col min="2" max="2" width="14.85546875" customWidth="1"/>
    <col min="3" max="3" width="18.7109375" bestFit="1" customWidth="1"/>
    <col min="4" max="4" width="15.140625" bestFit="1" customWidth="1"/>
  </cols>
  <sheetData>
    <row r="3" spans="1:4" x14ac:dyDescent="0.25">
      <c r="A3" s="23" t="s">
        <v>219</v>
      </c>
      <c r="B3" t="s">
        <v>218</v>
      </c>
      <c r="C3" t="s">
        <v>220</v>
      </c>
      <c r="D3" t="s">
        <v>221</v>
      </c>
    </row>
    <row r="4" spans="1:4" x14ac:dyDescent="0.25">
      <c r="A4" s="24">
        <v>1</v>
      </c>
      <c r="B4">
        <v>323</v>
      </c>
      <c r="C4">
        <v>389.39130434782606</v>
      </c>
      <c r="D4">
        <v>475</v>
      </c>
    </row>
    <row r="5" spans="1:4" x14ac:dyDescent="0.25">
      <c r="A5" s="24">
        <v>2</v>
      </c>
      <c r="B5">
        <v>345</v>
      </c>
      <c r="C5">
        <v>444.625</v>
      </c>
      <c r="D5">
        <v>511</v>
      </c>
    </row>
    <row r="6" spans="1:4" x14ac:dyDescent="0.25">
      <c r="A6" s="24">
        <v>3</v>
      </c>
      <c r="B6">
        <v>435</v>
      </c>
      <c r="C6">
        <v>492</v>
      </c>
      <c r="D6">
        <v>549</v>
      </c>
    </row>
    <row r="7" spans="1:4" x14ac:dyDescent="0.25">
      <c r="A7" s="24">
        <v>4</v>
      </c>
      <c r="B7">
        <v>383</v>
      </c>
      <c r="C7">
        <v>474.23529411764707</v>
      </c>
      <c r="D7">
        <v>712</v>
      </c>
    </row>
    <row r="8" spans="1:4" x14ac:dyDescent="0.25">
      <c r="A8" s="24" t="s">
        <v>216</v>
      </c>
    </row>
    <row r="9" spans="1:4" x14ac:dyDescent="0.25">
      <c r="A9" s="24" t="s">
        <v>217</v>
      </c>
      <c r="B9">
        <v>323</v>
      </c>
      <c r="C9">
        <v>452.9207920792079</v>
      </c>
      <c r="D9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9"/>
  <sheetViews>
    <sheetView zoomScaleNormal="10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T2" sqref="T2"/>
    </sheetView>
  </sheetViews>
  <sheetFormatPr defaultRowHeight="15" x14ac:dyDescent="0.25"/>
  <cols>
    <col min="1" max="1" width="11.5703125" bestFit="1" customWidth="1"/>
    <col min="2" max="2" width="40" bestFit="1" customWidth="1"/>
    <col min="3" max="3" width="9.5703125" bestFit="1" customWidth="1"/>
    <col min="4" max="4" width="10.7109375" bestFit="1" customWidth="1"/>
    <col min="5" max="5" width="8.85546875" bestFit="1" customWidth="1"/>
    <col min="6" max="6" width="10" bestFit="1" customWidth="1"/>
    <col min="7" max="7" width="12.140625" bestFit="1" customWidth="1"/>
    <col min="8" max="8" width="1.42578125" style="21" customWidth="1"/>
    <col min="9" max="9" width="8.42578125" bestFit="1" customWidth="1"/>
    <col min="10" max="10" width="10" bestFit="1" customWidth="1"/>
    <col min="11" max="11" width="1.5703125" style="21" customWidth="1"/>
    <col min="12" max="12" width="13.42578125" bestFit="1" customWidth="1"/>
    <col min="13" max="13" width="15.85546875" bestFit="1" customWidth="1"/>
    <col min="14" max="14" width="11.28515625" bestFit="1" customWidth="1"/>
    <col min="15" max="15" width="14" bestFit="1" customWidth="1"/>
    <col min="16" max="16" width="11.5703125" bestFit="1" customWidth="1"/>
    <col min="17" max="17" width="20.5703125" bestFit="1" customWidth="1"/>
    <col min="18" max="18" width="15.7109375" bestFit="1" customWidth="1"/>
    <col min="19" max="19" width="15.7109375" customWidth="1"/>
    <col min="20" max="20" width="15.5703125" bestFit="1" customWidth="1"/>
    <col min="21" max="21" width="15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1" t="s">
        <v>214</v>
      </c>
      <c r="I1" t="s">
        <v>7</v>
      </c>
      <c r="J1" t="s">
        <v>10</v>
      </c>
      <c r="K1" s="21" t="s">
        <v>215</v>
      </c>
      <c r="L1" t="s">
        <v>12</v>
      </c>
      <c r="M1" t="s">
        <v>11</v>
      </c>
      <c r="N1" t="s">
        <v>20</v>
      </c>
      <c r="O1" t="s">
        <v>21</v>
      </c>
      <c r="P1" t="s">
        <v>19</v>
      </c>
      <c r="Q1" t="s">
        <v>15</v>
      </c>
      <c r="R1" t="s">
        <v>16</v>
      </c>
      <c r="S1" t="s">
        <v>128</v>
      </c>
      <c r="T1" t="s">
        <v>17</v>
      </c>
      <c r="U1" t="s">
        <v>18</v>
      </c>
      <c r="V1" t="s">
        <v>8</v>
      </c>
      <c r="W1" t="s">
        <v>130</v>
      </c>
      <c r="X1" t="s">
        <v>9</v>
      </c>
      <c r="Y1" t="s">
        <v>131</v>
      </c>
    </row>
    <row r="2" spans="1:25" x14ac:dyDescent="0.25">
      <c r="A2">
        <v>1</v>
      </c>
      <c r="B2" t="s">
        <v>22</v>
      </c>
      <c r="C2">
        <v>120</v>
      </c>
      <c r="D2">
        <v>161</v>
      </c>
      <c r="E2">
        <v>158</v>
      </c>
      <c r="F2">
        <v>119</v>
      </c>
      <c r="G2">
        <v>558</v>
      </c>
      <c r="I2">
        <v>383</v>
      </c>
      <c r="J2" t="s">
        <v>113</v>
      </c>
      <c r="L2">
        <f t="shared" ref="L2:L3" si="0">IF($G2="","",$G2-$I2)</f>
        <v>175</v>
      </c>
      <c r="M2">
        <v>4</v>
      </c>
      <c r="N2">
        <v>599</v>
      </c>
      <c r="O2" t="s">
        <v>123</v>
      </c>
      <c r="P2" t="s">
        <v>133</v>
      </c>
      <c r="Q2" t="s">
        <v>118</v>
      </c>
      <c r="R2" t="s">
        <v>121</v>
      </c>
      <c r="S2" s="3">
        <f>1630/25.4</f>
        <v>64.173228346456696</v>
      </c>
      <c r="T2" s="3">
        <f>$I2*0.453592</f>
        <v>173.72573600000001</v>
      </c>
      <c r="U2" s="3">
        <f>$L2*0.453592</f>
        <v>79.378600000000006</v>
      </c>
      <c r="V2" s="2">
        <f t="shared" ref="V2:V65" si="1">IF($G2="","",($C2+$D2)/$G2)</f>
        <v>0.50358422939068104</v>
      </c>
      <c r="W2" s="4">
        <f>($C2+$D2)</f>
        <v>281</v>
      </c>
      <c r="X2" s="2">
        <f t="shared" ref="X2:X65" si="2">IF($G2="","",($C2+$E2)/$G2)</f>
        <v>0.49820788530465948</v>
      </c>
      <c r="Y2" s="4">
        <f>($C2+$E2)</f>
        <v>278</v>
      </c>
    </row>
    <row r="3" spans="1:25" x14ac:dyDescent="0.25">
      <c r="A3">
        <v>2</v>
      </c>
      <c r="B3" t="s">
        <v>24</v>
      </c>
      <c r="C3">
        <v>102</v>
      </c>
      <c r="D3">
        <v>130</v>
      </c>
      <c r="E3">
        <v>152</v>
      </c>
      <c r="F3">
        <v>128</v>
      </c>
      <c r="G3">
        <v>511</v>
      </c>
      <c r="I3">
        <v>342</v>
      </c>
      <c r="J3" t="s">
        <v>113</v>
      </c>
      <c r="L3">
        <f t="shared" si="0"/>
        <v>169</v>
      </c>
      <c r="M3">
        <v>1</v>
      </c>
      <c r="N3">
        <v>510</v>
      </c>
      <c r="O3" t="s">
        <v>123</v>
      </c>
      <c r="P3" t="s">
        <v>14</v>
      </c>
      <c r="Q3" t="s">
        <v>118</v>
      </c>
      <c r="R3" t="s">
        <v>121</v>
      </c>
      <c r="S3" s="3">
        <f>1550/25.4</f>
        <v>61.023622047244096</v>
      </c>
      <c r="T3" s="3">
        <f t="shared" ref="T3:T66" si="3">$I3*0.453592</f>
        <v>155.12846400000001</v>
      </c>
      <c r="U3" s="3">
        <f t="shared" ref="U3:U66" si="4">$L3*0.453592</f>
        <v>76.657048000000003</v>
      </c>
      <c r="V3" s="2">
        <f t="shared" si="1"/>
        <v>0.45401174168297453</v>
      </c>
      <c r="W3" s="4">
        <f t="shared" ref="W3:W66" si="5">($C3+$D3)</f>
        <v>232</v>
      </c>
      <c r="X3" s="2">
        <f t="shared" si="2"/>
        <v>0.49706457925636005</v>
      </c>
      <c r="Y3" s="4">
        <f t="shared" ref="Y3:Y66" si="6">($C3+$E3)</f>
        <v>254</v>
      </c>
    </row>
    <row r="4" spans="1:25" x14ac:dyDescent="0.25">
      <c r="A4">
        <v>5</v>
      </c>
      <c r="B4" t="s">
        <v>33</v>
      </c>
      <c r="C4">
        <v>113</v>
      </c>
      <c r="D4">
        <v>107</v>
      </c>
      <c r="E4">
        <v>123</v>
      </c>
      <c r="F4">
        <v>130</v>
      </c>
      <c r="G4">
        <v>472</v>
      </c>
      <c r="I4">
        <v>325</v>
      </c>
      <c r="J4" t="s">
        <v>113</v>
      </c>
      <c r="L4">
        <f>IF($G4="","",$G4-$I4)</f>
        <v>147</v>
      </c>
      <c r="M4">
        <v>1</v>
      </c>
      <c r="N4">
        <v>449</v>
      </c>
      <c r="O4" t="s">
        <v>124</v>
      </c>
      <c r="P4" t="s">
        <v>14</v>
      </c>
      <c r="Q4" t="s">
        <v>117</v>
      </c>
      <c r="R4" t="s">
        <v>121</v>
      </c>
      <c r="S4" s="3">
        <v>60.25</v>
      </c>
      <c r="T4" s="3">
        <f t="shared" si="3"/>
        <v>147.41739999999999</v>
      </c>
      <c r="U4" s="3">
        <f t="shared" si="4"/>
        <v>66.678023999999994</v>
      </c>
      <c r="V4" s="2">
        <f t="shared" si="1"/>
        <v>0.46610169491525422</v>
      </c>
      <c r="W4" s="4">
        <f t="shared" si="5"/>
        <v>220</v>
      </c>
      <c r="X4" s="2">
        <f t="shared" si="2"/>
        <v>0.5</v>
      </c>
      <c r="Y4" s="4">
        <f t="shared" si="6"/>
        <v>236</v>
      </c>
    </row>
    <row r="5" spans="1:25" x14ac:dyDescent="0.25">
      <c r="A5">
        <v>6</v>
      </c>
      <c r="B5" t="s">
        <v>73</v>
      </c>
      <c r="C5">
        <v>142</v>
      </c>
      <c r="D5">
        <v>152</v>
      </c>
      <c r="E5">
        <v>132</v>
      </c>
      <c r="F5">
        <v>129</v>
      </c>
      <c r="G5">
        <v>555</v>
      </c>
      <c r="I5">
        <v>373</v>
      </c>
      <c r="J5" t="s">
        <v>113</v>
      </c>
      <c r="L5">
        <f>IF($G5="","",$G5-$I5)</f>
        <v>182</v>
      </c>
      <c r="M5">
        <v>1</v>
      </c>
      <c r="N5">
        <v>450</v>
      </c>
      <c r="O5" t="s">
        <v>123</v>
      </c>
      <c r="P5" t="s">
        <v>133</v>
      </c>
      <c r="Q5" t="s">
        <v>118</v>
      </c>
      <c r="R5" t="s">
        <v>122</v>
      </c>
      <c r="S5" s="3">
        <v>60.2</v>
      </c>
      <c r="T5" s="3">
        <f t="shared" si="3"/>
        <v>169.18981600000001</v>
      </c>
      <c r="U5" s="3">
        <f t="shared" si="4"/>
        <v>82.553743999999995</v>
      </c>
      <c r="V5" s="2">
        <f t="shared" si="1"/>
        <v>0.52972972972972976</v>
      </c>
      <c r="W5" s="4">
        <f t="shared" si="5"/>
        <v>294</v>
      </c>
      <c r="X5" s="2">
        <f t="shared" si="2"/>
        <v>0.4936936936936937</v>
      </c>
      <c r="Y5" s="4">
        <f t="shared" si="6"/>
        <v>274</v>
      </c>
    </row>
    <row r="6" spans="1:25" x14ac:dyDescent="0.25">
      <c r="A6">
        <v>7</v>
      </c>
      <c r="B6" t="s">
        <v>58</v>
      </c>
      <c r="C6">
        <v>119</v>
      </c>
      <c r="D6">
        <v>135</v>
      </c>
      <c r="E6">
        <v>137</v>
      </c>
      <c r="F6">
        <v>125</v>
      </c>
      <c r="G6">
        <v>518</v>
      </c>
      <c r="I6">
        <v>358</v>
      </c>
      <c r="J6" t="s">
        <v>114</v>
      </c>
      <c r="L6">
        <f t="shared" ref="L6:L68" si="7">IF($G6="","",$G6-$I6)</f>
        <v>160</v>
      </c>
      <c r="M6">
        <v>1</v>
      </c>
      <c r="N6">
        <v>450</v>
      </c>
      <c r="O6" t="s">
        <v>123</v>
      </c>
      <c r="P6" t="s">
        <v>13</v>
      </c>
      <c r="Q6" t="s">
        <v>118</v>
      </c>
      <c r="R6" t="s">
        <v>121</v>
      </c>
      <c r="S6" s="3">
        <v>61</v>
      </c>
      <c r="T6" s="3">
        <f t="shared" si="3"/>
        <v>162.38593599999999</v>
      </c>
      <c r="U6" s="3">
        <f t="shared" si="4"/>
        <v>72.574719999999999</v>
      </c>
      <c r="V6" s="2">
        <f t="shared" si="1"/>
        <v>0.49034749034749037</v>
      </c>
      <c r="W6" s="4">
        <f t="shared" si="5"/>
        <v>254</v>
      </c>
      <c r="X6" s="2">
        <f t="shared" si="2"/>
        <v>0.49420849420849422</v>
      </c>
      <c r="Y6" s="4">
        <f t="shared" si="6"/>
        <v>256</v>
      </c>
    </row>
    <row r="7" spans="1:25" x14ac:dyDescent="0.25">
      <c r="A7">
        <v>8</v>
      </c>
      <c r="B7" t="s">
        <v>29</v>
      </c>
      <c r="C7">
        <v>127</v>
      </c>
      <c r="D7">
        <v>126</v>
      </c>
      <c r="E7">
        <v>148</v>
      </c>
      <c r="F7">
        <v>144</v>
      </c>
      <c r="G7">
        <v>545</v>
      </c>
      <c r="I7">
        <v>363</v>
      </c>
      <c r="J7" t="s">
        <v>114</v>
      </c>
      <c r="L7">
        <f t="shared" si="7"/>
        <v>182</v>
      </c>
      <c r="M7">
        <v>1</v>
      </c>
      <c r="N7">
        <v>449</v>
      </c>
      <c r="O7" t="s">
        <v>124</v>
      </c>
      <c r="P7" t="s">
        <v>133</v>
      </c>
      <c r="Q7" t="s">
        <v>117</v>
      </c>
      <c r="R7" t="s">
        <v>121</v>
      </c>
      <c r="S7" s="3">
        <v>63</v>
      </c>
      <c r="T7" s="3">
        <f t="shared" si="3"/>
        <v>164.653896</v>
      </c>
      <c r="U7" s="3">
        <f t="shared" si="4"/>
        <v>82.553743999999995</v>
      </c>
      <c r="V7" s="2">
        <f t="shared" si="1"/>
        <v>0.46422018348623856</v>
      </c>
      <c r="W7" s="4">
        <f t="shared" si="5"/>
        <v>253</v>
      </c>
      <c r="X7" s="2">
        <f t="shared" si="2"/>
        <v>0.50458715596330272</v>
      </c>
      <c r="Y7" s="4">
        <f t="shared" si="6"/>
        <v>275</v>
      </c>
    </row>
    <row r="8" spans="1:25" x14ac:dyDescent="0.25">
      <c r="A8">
        <v>9</v>
      </c>
      <c r="B8" t="s">
        <v>25</v>
      </c>
      <c r="C8">
        <v>134</v>
      </c>
      <c r="D8">
        <v>154</v>
      </c>
      <c r="E8">
        <v>171</v>
      </c>
      <c r="F8">
        <v>157</v>
      </c>
      <c r="G8">
        <v>616</v>
      </c>
      <c r="I8">
        <v>433</v>
      </c>
      <c r="J8" t="s">
        <v>114</v>
      </c>
      <c r="L8">
        <f t="shared" si="7"/>
        <v>183</v>
      </c>
      <c r="M8">
        <v>4</v>
      </c>
      <c r="N8">
        <v>599</v>
      </c>
      <c r="O8" t="s">
        <v>124</v>
      </c>
      <c r="P8" t="s">
        <v>133</v>
      </c>
      <c r="Q8" t="s">
        <v>118</v>
      </c>
      <c r="R8" t="s">
        <v>121</v>
      </c>
      <c r="S8" s="3">
        <v>61</v>
      </c>
      <c r="T8" s="3">
        <f t="shared" si="3"/>
        <v>196.40533600000001</v>
      </c>
      <c r="U8" s="3">
        <f t="shared" si="4"/>
        <v>83.007335999999995</v>
      </c>
      <c r="V8" s="2">
        <f t="shared" si="1"/>
        <v>0.46753246753246752</v>
      </c>
      <c r="W8" s="4">
        <f t="shared" si="5"/>
        <v>288</v>
      </c>
      <c r="X8" s="2">
        <f t="shared" si="2"/>
        <v>0.49512987012987014</v>
      </c>
      <c r="Y8" s="4">
        <f t="shared" si="6"/>
        <v>305</v>
      </c>
    </row>
    <row r="9" spans="1:25" x14ac:dyDescent="0.25">
      <c r="A9">
        <v>10</v>
      </c>
      <c r="B9" t="s">
        <v>96</v>
      </c>
      <c r="C9">
        <v>121</v>
      </c>
      <c r="D9">
        <v>139</v>
      </c>
      <c r="E9">
        <v>172</v>
      </c>
      <c r="F9">
        <v>154</v>
      </c>
      <c r="G9">
        <v>586</v>
      </c>
      <c r="I9">
        <v>427</v>
      </c>
      <c r="J9" t="s">
        <v>112</v>
      </c>
      <c r="L9">
        <f t="shared" si="7"/>
        <v>159</v>
      </c>
      <c r="M9">
        <v>4</v>
      </c>
      <c r="N9">
        <v>599</v>
      </c>
      <c r="O9" t="s">
        <v>123</v>
      </c>
      <c r="P9" t="s">
        <v>13</v>
      </c>
      <c r="Q9" t="s">
        <v>117</v>
      </c>
      <c r="R9" t="s">
        <v>121</v>
      </c>
      <c r="S9" s="3">
        <f>1560/25.4</f>
        <v>61.417322834645674</v>
      </c>
      <c r="T9" s="3">
        <f t="shared" si="3"/>
        <v>193.683784</v>
      </c>
      <c r="U9" s="3">
        <f t="shared" si="4"/>
        <v>72.121127999999999</v>
      </c>
      <c r="V9" s="2">
        <f t="shared" si="1"/>
        <v>0.44368600682593856</v>
      </c>
      <c r="W9" s="4">
        <f t="shared" si="5"/>
        <v>260</v>
      </c>
      <c r="X9" s="2">
        <f t="shared" si="2"/>
        <v>0.5</v>
      </c>
      <c r="Y9" s="4">
        <f t="shared" si="6"/>
        <v>293</v>
      </c>
    </row>
    <row r="10" spans="1:25" x14ac:dyDescent="0.25">
      <c r="A10">
        <v>11</v>
      </c>
      <c r="B10" t="s">
        <v>31</v>
      </c>
      <c r="C10">
        <v>139</v>
      </c>
      <c r="D10">
        <v>161</v>
      </c>
      <c r="E10">
        <v>162</v>
      </c>
      <c r="F10">
        <v>137</v>
      </c>
      <c r="G10">
        <v>599</v>
      </c>
      <c r="I10">
        <v>427</v>
      </c>
      <c r="J10" t="s">
        <v>113</v>
      </c>
      <c r="L10">
        <f t="shared" si="7"/>
        <v>172</v>
      </c>
      <c r="M10">
        <v>4</v>
      </c>
      <c r="N10">
        <v>599</v>
      </c>
      <c r="O10" t="s">
        <v>123</v>
      </c>
      <c r="P10" t="s">
        <v>133</v>
      </c>
      <c r="Q10" t="s">
        <v>118</v>
      </c>
      <c r="R10" t="s">
        <v>121</v>
      </c>
      <c r="S10" s="3">
        <v>60.5</v>
      </c>
      <c r="T10" s="3">
        <f t="shared" si="3"/>
        <v>193.683784</v>
      </c>
      <c r="U10" s="3">
        <f t="shared" si="4"/>
        <v>78.017824000000005</v>
      </c>
      <c r="V10" s="2">
        <f t="shared" si="1"/>
        <v>0.5008347245409015</v>
      </c>
      <c r="W10" s="4">
        <f t="shared" si="5"/>
        <v>300</v>
      </c>
      <c r="X10" s="2">
        <f t="shared" si="2"/>
        <v>0.5025041736227045</v>
      </c>
      <c r="Y10" s="4">
        <f t="shared" si="6"/>
        <v>301</v>
      </c>
    </row>
    <row r="11" spans="1:25" x14ac:dyDescent="0.25">
      <c r="A11">
        <v>12</v>
      </c>
      <c r="B11" t="s">
        <v>89</v>
      </c>
      <c r="C11">
        <v>139</v>
      </c>
      <c r="D11">
        <v>167</v>
      </c>
      <c r="E11">
        <v>169</v>
      </c>
      <c r="F11">
        <v>138</v>
      </c>
      <c r="G11">
        <v>612</v>
      </c>
      <c r="I11">
        <v>455</v>
      </c>
      <c r="J11" t="s">
        <v>113</v>
      </c>
      <c r="L11">
        <f t="shared" si="7"/>
        <v>157</v>
      </c>
      <c r="M11">
        <v>4</v>
      </c>
      <c r="N11">
        <v>599</v>
      </c>
      <c r="O11" t="s">
        <v>123</v>
      </c>
      <c r="P11" t="s">
        <v>13</v>
      </c>
      <c r="Q11" t="s">
        <v>118</v>
      </c>
      <c r="R11" t="s">
        <v>121</v>
      </c>
      <c r="S11" s="3">
        <v>61</v>
      </c>
      <c r="T11" s="3">
        <f t="shared" si="3"/>
        <v>206.38435999999999</v>
      </c>
      <c r="U11" s="3">
        <f t="shared" si="4"/>
        <v>71.213943999999998</v>
      </c>
      <c r="V11" s="2">
        <f t="shared" si="1"/>
        <v>0.5</v>
      </c>
      <c r="W11" s="4">
        <f t="shared" si="5"/>
        <v>306</v>
      </c>
      <c r="X11" s="2">
        <f t="shared" si="2"/>
        <v>0.50326797385620914</v>
      </c>
      <c r="Y11" s="4">
        <f t="shared" si="6"/>
        <v>308</v>
      </c>
    </row>
    <row r="12" spans="1:25" x14ac:dyDescent="0.25">
      <c r="A12">
        <v>14</v>
      </c>
      <c r="B12" t="s">
        <v>159</v>
      </c>
      <c r="C12">
        <v>145</v>
      </c>
      <c r="D12">
        <v>165</v>
      </c>
      <c r="E12">
        <v>161</v>
      </c>
      <c r="F12">
        <v>141</v>
      </c>
      <c r="G12">
        <v>613</v>
      </c>
      <c r="I12">
        <v>410</v>
      </c>
      <c r="J12" t="s">
        <v>114</v>
      </c>
      <c r="L12">
        <f t="shared" si="7"/>
        <v>203</v>
      </c>
      <c r="M12">
        <v>1</v>
      </c>
      <c r="N12">
        <v>449</v>
      </c>
      <c r="O12" t="s">
        <v>123</v>
      </c>
      <c r="P12" t="s">
        <v>13</v>
      </c>
      <c r="Q12" t="s">
        <v>117</v>
      </c>
      <c r="R12" t="s">
        <v>121</v>
      </c>
      <c r="S12" s="3">
        <f>1579/25.4</f>
        <v>62.165354330708666</v>
      </c>
      <c r="T12" s="3">
        <f t="shared" si="3"/>
        <v>185.97272000000001</v>
      </c>
      <c r="U12" s="3">
        <f t="shared" si="4"/>
        <v>92.079176000000004</v>
      </c>
      <c r="V12" s="2">
        <f t="shared" si="1"/>
        <v>0.50570962479608483</v>
      </c>
      <c r="W12" s="4">
        <f t="shared" si="5"/>
        <v>310</v>
      </c>
      <c r="X12" s="2">
        <f t="shared" si="2"/>
        <v>0.49918433931484502</v>
      </c>
      <c r="Y12" s="4">
        <f t="shared" si="6"/>
        <v>306</v>
      </c>
    </row>
    <row r="13" spans="1:25" x14ac:dyDescent="0.25">
      <c r="A13">
        <v>16</v>
      </c>
      <c r="B13" t="s">
        <v>65</v>
      </c>
      <c r="C13">
        <v>119</v>
      </c>
      <c r="D13">
        <v>165</v>
      </c>
      <c r="E13">
        <v>174</v>
      </c>
      <c r="F13">
        <v>131</v>
      </c>
      <c r="G13">
        <v>590</v>
      </c>
      <c r="I13">
        <v>463</v>
      </c>
      <c r="J13" t="s">
        <v>114</v>
      </c>
      <c r="L13">
        <f t="shared" si="7"/>
        <v>127</v>
      </c>
      <c r="M13">
        <v>4</v>
      </c>
      <c r="N13">
        <v>600</v>
      </c>
      <c r="O13" t="s">
        <v>123</v>
      </c>
      <c r="P13" t="s">
        <v>133</v>
      </c>
      <c r="Q13" t="s">
        <v>118</v>
      </c>
      <c r="R13" t="s">
        <v>121</v>
      </c>
      <c r="S13" s="3">
        <f>1530/25.4</f>
        <v>60.236220472440948</v>
      </c>
      <c r="T13" s="3">
        <f t="shared" si="3"/>
        <v>210.01309599999999</v>
      </c>
      <c r="U13" s="3">
        <f t="shared" si="4"/>
        <v>57.606183999999999</v>
      </c>
      <c r="V13" s="2">
        <f t="shared" si="1"/>
        <v>0.48135593220338985</v>
      </c>
      <c r="W13" s="4">
        <f t="shared" si="5"/>
        <v>284</v>
      </c>
      <c r="X13" s="2">
        <f t="shared" si="2"/>
        <v>0.49661016949152542</v>
      </c>
      <c r="Y13" s="4">
        <f t="shared" si="6"/>
        <v>293</v>
      </c>
    </row>
    <row r="14" spans="1:25" x14ac:dyDescent="0.25">
      <c r="A14">
        <v>17</v>
      </c>
      <c r="B14" t="s">
        <v>87</v>
      </c>
      <c r="C14">
        <v>176</v>
      </c>
      <c r="D14">
        <v>165</v>
      </c>
      <c r="E14">
        <v>169</v>
      </c>
      <c r="F14">
        <v>165</v>
      </c>
      <c r="G14">
        <v>674</v>
      </c>
      <c r="I14">
        <v>511</v>
      </c>
      <c r="J14" t="s">
        <v>114</v>
      </c>
      <c r="L14">
        <f t="shared" si="7"/>
        <v>163</v>
      </c>
      <c r="M14">
        <v>2</v>
      </c>
      <c r="N14">
        <v>479</v>
      </c>
      <c r="O14" t="s">
        <v>123</v>
      </c>
      <c r="P14" t="s">
        <v>13</v>
      </c>
      <c r="Q14" t="s">
        <v>116</v>
      </c>
      <c r="R14" t="s">
        <v>122</v>
      </c>
      <c r="S14" s="3">
        <v>63</v>
      </c>
      <c r="T14" s="3">
        <f t="shared" si="3"/>
        <v>231.78551200000001</v>
      </c>
      <c r="U14" s="3">
        <f t="shared" si="4"/>
        <v>73.935496000000001</v>
      </c>
      <c r="V14" s="2">
        <f t="shared" si="1"/>
        <v>0.50593471810089019</v>
      </c>
      <c r="W14" s="4">
        <f t="shared" si="5"/>
        <v>341</v>
      </c>
      <c r="X14" s="2">
        <f t="shared" si="2"/>
        <v>0.51186943620178038</v>
      </c>
      <c r="Y14" s="4">
        <f t="shared" si="6"/>
        <v>345</v>
      </c>
    </row>
    <row r="15" spans="1:25" x14ac:dyDescent="0.25">
      <c r="A15">
        <v>18</v>
      </c>
      <c r="B15" t="s">
        <v>71</v>
      </c>
      <c r="C15">
        <v>129</v>
      </c>
      <c r="D15">
        <v>168</v>
      </c>
      <c r="E15">
        <v>177</v>
      </c>
      <c r="F15">
        <v>139</v>
      </c>
      <c r="G15">
        <v>614</v>
      </c>
      <c r="I15">
        <v>445</v>
      </c>
      <c r="J15" t="s">
        <v>112</v>
      </c>
      <c r="L15">
        <f t="shared" si="7"/>
        <v>169</v>
      </c>
      <c r="M15">
        <v>4</v>
      </c>
      <c r="N15">
        <v>600</v>
      </c>
      <c r="O15" t="s">
        <v>123</v>
      </c>
      <c r="P15" t="s">
        <v>13</v>
      </c>
      <c r="Q15" t="s">
        <v>117</v>
      </c>
      <c r="R15" t="s">
        <v>121</v>
      </c>
      <c r="S15" s="3">
        <v>62</v>
      </c>
      <c r="T15" s="3">
        <f t="shared" si="3"/>
        <v>201.84844000000001</v>
      </c>
      <c r="U15" s="3">
        <f t="shared" si="4"/>
        <v>76.657048000000003</v>
      </c>
      <c r="V15" s="2">
        <f t="shared" si="1"/>
        <v>0.48371335504885993</v>
      </c>
      <c r="W15" s="4">
        <f t="shared" si="5"/>
        <v>297</v>
      </c>
      <c r="X15" s="2">
        <f t="shared" si="2"/>
        <v>0.49837133550488599</v>
      </c>
      <c r="Y15" s="4">
        <f t="shared" si="6"/>
        <v>306</v>
      </c>
    </row>
    <row r="16" spans="1:25" x14ac:dyDescent="0.25">
      <c r="A16">
        <v>19</v>
      </c>
      <c r="B16" t="s">
        <v>67</v>
      </c>
      <c r="C16">
        <v>143</v>
      </c>
      <c r="D16">
        <v>165</v>
      </c>
      <c r="E16">
        <v>165</v>
      </c>
      <c r="F16">
        <v>153</v>
      </c>
      <c r="G16">
        <v>625</v>
      </c>
      <c r="I16">
        <v>466</v>
      </c>
      <c r="J16" t="s">
        <v>114</v>
      </c>
      <c r="L16">
        <f t="shared" si="7"/>
        <v>159</v>
      </c>
      <c r="M16">
        <v>4</v>
      </c>
      <c r="N16">
        <v>600</v>
      </c>
      <c r="O16" t="s">
        <v>123</v>
      </c>
      <c r="P16" t="s">
        <v>13</v>
      </c>
      <c r="Q16" t="s">
        <v>118</v>
      </c>
      <c r="R16" t="s">
        <v>121</v>
      </c>
      <c r="S16" s="3">
        <v>61</v>
      </c>
      <c r="T16" s="3">
        <f t="shared" si="3"/>
        <v>211.37387200000001</v>
      </c>
      <c r="U16" s="3">
        <f t="shared" si="4"/>
        <v>72.121127999999999</v>
      </c>
      <c r="V16" s="2">
        <f t="shared" si="1"/>
        <v>0.49280000000000002</v>
      </c>
      <c r="W16" s="4">
        <f t="shared" si="5"/>
        <v>308</v>
      </c>
      <c r="X16" s="2">
        <f t="shared" si="2"/>
        <v>0.49280000000000002</v>
      </c>
      <c r="Y16" s="4">
        <f t="shared" si="6"/>
        <v>308</v>
      </c>
    </row>
    <row r="17" spans="1:25" x14ac:dyDescent="0.25">
      <c r="A17">
        <v>20</v>
      </c>
      <c r="B17" t="s">
        <v>70</v>
      </c>
      <c r="C17">
        <v>163</v>
      </c>
      <c r="D17">
        <v>186</v>
      </c>
      <c r="E17">
        <v>193</v>
      </c>
      <c r="F17">
        <v>181</v>
      </c>
      <c r="G17">
        <v>723</v>
      </c>
      <c r="I17">
        <v>536</v>
      </c>
      <c r="J17" t="s">
        <v>113</v>
      </c>
      <c r="L17">
        <f t="shared" si="7"/>
        <v>187</v>
      </c>
      <c r="M17">
        <v>4</v>
      </c>
      <c r="N17">
        <v>599</v>
      </c>
      <c r="O17" t="s">
        <v>123</v>
      </c>
      <c r="P17" t="s">
        <v>13</v>
      </c>
      <c r="Q17" t="s">
        <v>117</v>
      </c>
      <c r="R17" t="s">
        <v>121</v>
      </c>
      <c r="S17" s="3">
        <f>1651/25.4</f>
        <v>65</v>
      </c>
      <c r="T17" s="3">
        <f t="shared" si="3"/>
        <v>243.12531200000001</v>
      </c>
      <c r="U17" s="3">
        <f t="shared" si="4"/>
        <v>84.821703999999997</v>
      </c>
      <c r="V17" s="2">
        <f t="shared" si="1"/>
        <v>0.48271092669432919</v>
      </c>
      <c r="W17" s="4">
        <f t="shared" si="5"/>
        <v>349</v>
      </c>
      <c r="X17" s="2">
        <f t="shared" si="2"/>
        <v>0.49239280774550487</v>
      </c>
      <c r="Y17" s="4">
        <f t="shared" si="6"/>
        <v>356</v>
      </c>
    </row>
    <row r="18" spans="1:25" x14ac:dyDescent="0.25">
      <c r="A18">
        <v>21</v>
      </c>
      <c r="B18" t="s">
        <v>40</v>
      </c>
      <c r="C18">
        <v>144</v>
      </c>
      <c r="D18">
        <v>156</v>
      </c>
      <c r="E18">
        <v>175</v>
      </c>
      <c r="F18">
        <v>159</v>
      </c>
      <c r="G18">
        <v>633</v>
      </c>
      <c r="I18">
        <v>474</v>
      </c>
      <c r="J18" t="s">
        <v>113</v>
      </c>
      <c r="L18">
        <f t="shared" si="7"/>
        <v>159</v>
      </c>
      <c r="M18">
        <v>4</v>
      </c>
      <c r="N18">
        <v>599</v>
      </c>
      <c r="O18" t="s">
        <v>123</v>
      </c>
      <c r="P18" t="s">
        <v>13</v>
      </c>
      <c r="Q18" t="s">
        <v>118</v>
      </c>
      <c r="R18" t="s">
        <v>122</v>
      </c>
      <c r="S18" s="3">
        <v>61</v>
      </c>
      <c r="T18" s="3">
        <f t="shared" si="3"/>
        <v>215.00260800000001</v>
      </c>
      <c r="U18" s="3">
        <f t="shared" si="4"/>
        <v>72.121127999999999</v>
      </c>
      <c r="V18" s="2">
        <f t="shared" si="1"/>
        <v>0.47393364928909953</v>
      </c>
      <c r="W18" s="4">
        <f t="shared" si="5"/>
        <v>300</v>
      </c>
      <c r="X18" s="2">
        <f t="shared" si="2"/>
        <v>0.50394944707740918</v>
      </c>
      <c r="Y18" s="4">
        <f t="shared" si="6"/>
        <v>319</v>
      </c>
    </row>
    <row r="19" spans="1:25" x14ac:dyDescent="0.25">
      <c r="A19">
        <v>23</v>
      </c>
      <c r="B19" t="s">
        <v>36</v>
      </c>
      <c r="C19">
        <v>123</v>
      </c>
      <c r="D19">
        <v>151</v>
      </c>
      <c r="E19">
        <v>159</v>
      </c>
      <c r="F19">
        <v>138</v>
      </c>
      <c r="G19">
        <v>571</v>
      </c>
      <c r="I19">
        <v>433</v>
      </c>
      <c r="J19" t="s">
        <v>113</v>
      </c>
      <c r="L19">
        <f t="shared" si="7"/>
        <v>138</v>
      </c>
      <c r="M19">
        <v>4</v>
      </c>
      <c r="N19">
        <v>599</v>
      </c>
      <c r="O19" t="s">
        <v>123</v>
      </c>
      <c r="P19" t="s">
        <v>13</v>
      </c>
      <c r="Q19" t="s">
        <v>117</v>
      </c>
      <c r="R19" t="s">
        <v>121</v>
      </c>
      <c r="S19" s="3">
        <v>60.5</v>
      </c>
      <c r="T19" s="3">
        <f t="shared" si="3"/>
        <v>196.40533600000001</v>
      </c>
      <c r="U19" s="3">
        <f t="shared" si="4"/>
        <v>62.595695999999997</v>
      </c>
      <c r="V19" s="2">
        <f t="shared" si="1"/>
        <v>0.47985989492119091</v>
      </c>
      <c r="W19" s="4">
        <f t="shared" si="5"/>
        <v>274</v>
      </c>
      <c r="X19" s="2">
        <f t="shared" si="2"/>
        <v>0.49387040280210159</v>
      </c>
      <c r="Y19" s="4">
        <f t="shared" si="6"/>
        <v>282</v>
      </c>
    </row>
    <row r="20" spans="1:25" x14ac:dyDescent="0.25">
      <c r="A20">
        <v>24</v>
      </c>
      <c r="B20" t="s">
        <v>49</v>
      </c>
      <c r="C20">
        <v>124</v>
      </c>
      <c r="D20">
        <v>144</v>
      </c>
      <c r="E20">
        <v>138</v>
      </c>
      <c r="F20">
        <v>132</v>
      </c>
      <c r="G20">
        <v>538</v>
      </c>
      <c r="I20">
        <v>386</v>
      </c>
      <c r="J20" t="s">
        <v>114</v>
      </c>
      <c r="L20">
        <f t="shared" si="7"/>
        <v>152</v>
      </c>
      <c r="M20">
        <v>1</v>
      </c>
      <c r="N20">
        <v>450</v>
      </c>
      <c r="O20" t="s">
        <v>123</v>
      </c>
      <c r="P20" t="s">
        <v>13</v>
      </c>
      <c r="Q20" t="s">
        <v>117</v>
      </c>
      <c r="R20" t="s">
        <v>121</v>
      </c>
      <c r="S20" s="3">
        <v>60</v>
      </c>
      <c r="T20" s="3">
        <f t="shared" si="3"/>
        <v>175.086512</v>
      </c>
      <c r="U20" s="3">
        <f t="shared" si="4"/>
        <v>68.945983999999996</v>
      </c>
      <c r="V20" s="2">
        <f t="shared" si="1"/>
        <v>0.49814126394052044</v>
      </c>
      <c r="W20" s="4">
        <f t="shared" si="5"/>
        <v>268</v>
      </c>
      <c r="X20" s="2">
        <f t="shared" si="2"/>
        <v>0.48698884758364314</v>
      </c>
      <c r="Y20" s="4">
        <f t="shared" si="6"/>
        <v>262</v>
      </c>
    </row>
    <row r="21" spans="1:25" s="17" customFormat="1" x14ac:dyDescent="0.25">
      <c r="A21" s="17">
        <v>25</v>
      </c>
      <c r="B21" s="17" t="s">
        <v>160</v>
      </c>
      <c r="H21" s="21"/>
      <c r="K21" s="21"/>
      <c r="L21" s="17" t="str">
        <f t="shared" si="7"/>
        <v/>
      </c>
      <c r="S21" s="18"/>
      <c r="T21" s="18">
        <f t="shared" si="3"/>
        <v>0</v>
      </c>
      <c r="U21" s="18" t="e">
        <f t="shared" si="4"/>
        <v>#VALUE!</v>
      </c>
      <c r="V21" s="19" t="str">
        <f t="shared" si="1"/>
        <v/>
      </c>
      <c r="W21" s="20">
        <f t="shared" si="5"/>
        <v>0</v>
      </c>
      <c r="X21" s="19" t="str">
        <f t="shared" si="2"/>
        <v/>
      </c>
      <c r="Y21" s="20">
        <f t="shared" si="6"/>
        <v>0</v>
      </c>
    </row>
    <row r="22" spans="1:25" x14ac:dyDescent="0.25">
      <c r="A22">
        <v>26</v>
      </c>
      <c r="B22" t="s">
        <v>32</v>
      </c>
      <c r="C22">
        <v>175</v>
      </c>
      <c r="D22">
        <v>166</v>
      </c>
      <c r="E22">
        <v>136</v>
      </c>
      <c r="F22">
        <v>143</v>
      </c>
      <c r="G22">
        <v>620</v>
      </c>
      <c r="I22">
        <v>456</v>
      </c>
      <c r="J22" t="s">
        <v>113</v>
      </c>
      <c r="L22">
        <f t="shared" si="7"/>
        <v>164</v>
      </c>
      <c r="M22">
        <v>4</v>
      </c>
      <c r="N22">
        <v>599</v>
      </c>
      <c r="O22" t="s">
        <v>123</v>
      </c>
      <c r="P22" t="s">
        <v>13</v>
      </c>
      <c r="Q22" t="s">
        <v>116</v>
      </c>
      <c r="R22" t="s">
        <v>121</v>
      </c>
      <c r="S22" s="3">
        <f>1588/25.4</f>
        <v>62.519685039370081</v>
      </c>
      <c r="T22" s="3">
        <f t="shared" si="3"/>
        <v>206.837952</v>
      </c>
      <c r="U22" s="3">
        <f t="shared" si="4"/>
        <v>74.389088000000001</v>
      </c>
      <c r="V22" s="2">
        <f t="shared" si="1"/>
        <v>0.55000000000000004</v>
      </c>
      <c r="W22" s="4">
        <f t="shared" si="5"/>
        <v>341</v>
      </c>
      <c r="X22" s="2">
        <f t="shared" si="2"/>
        <v>0.50161290322580643</v>
      </c>
      <c r="Y22" s="4">
        <f t="shared" si="6"/>
        <v>311</v>
      </c>
    </row>
    <row r="23" spans="1:25" x14ac:dyDescent="0.25">
      <c r="A23">
        <v>29</v>
      </c>
      <c r="B23" t="s">
        <v>85</v>
      </c>
      <c r="C23">
        <v>140</v>
      </c>
      <c r="D23">
        <v>136</v>
      </c>
      <c r="E23">
        <v>143</v>
      </c>
      <c r="F23">
        <v>145</v>
      </c>
      <c r="G23">
        <v>564</v>
      </c>
      <c r="I23">
        <v>421</v>
      </c>
      <c r="J23" t="s">
        <v>113</v>
      </c>
      <c r="L23">
        <f t="shared" si="7"/>
        <v>143</v>
      </c>
      <c r="M23">
        <v>1</v>
      </c>
      <c r="N23">
        <v>478</v>
      </c>
      <c r="O23" t="s">
        <v>123</v>
      </c>
      <c r="P23" t="s">
        <v>13</v>
      </c>
      <c r="Q23" t="s">
        <v>117</v>
      </c>
      <c r="R23" t="s">
        <v>121</v>
      </c>
      <c r="S23" s="3">
        <v>61</v>
      </c>
      <c r="T23" s="3">
        <f t="shared" si="3"/>
        <v>190.962232</v>
      </c>
      <c r="U23" s="3">
        <f t="shared" si="4"/>
        <v>64.863656000000006</v>
      </c>
      <c r="V23" s="2">
        <f t="shared" si="1"/>
        <v>0.48936170212765956</v>
      </c>
      <c r="W23" s="4">
        <f t="shared" si="5"/>
        <v>276</v>
      </c>
      <c r="X23" s="2">
        <f t="shared" si="2"/>
        <v>0.50177304964539005</v>
      </c>
      <c r="Y23" s="4">
        <f t="shared" si="6"/>
        <v>283</v>
      </c>
    </row>
    <row r="24" spans="1:25" x14ac:dyDescent="0.25">
      <c r="A24">
        <v>30</v>
      </c>
      <c r="B24" t="s">
        <v>79</v>
      </c>
      <c r="C24">
        <v>193</v>
      </c>
      <c r="D24">
        <v>114</v>
      </c>
      <c r="E24">
        <v>111</v>
      </c>
      <c r="F24">
        <v>193</v>
      </c>
      <c r="G24">
        <v>611</v>
      </c>
      <c r="I24">
        <v>444</v>
      </c>
      <c r="J24" t="s">
        <v>114</v>
      </c>
      <c r="L24">
        <f t="shared" si="7"/>
        <v>167</v>
      </c>
      <c r="M24">
        <v>1</v>
      </c>
      <c r="N24">
        <v>450</v>
      </c>
      <c r="O24" t="s">
        <v>125</v>
      </c>
      <c r="P24" t="s">
        <v>13</v>
      </c>
      <c r="Q24" t="s">
        <v>118</v>
      </c>
      <c r="R24" t="s">
        <v>121</v>
      </c>
      <c r="S24" s="3">
        <v>62</v>
      </c>
      <c r="T24" s="3">
        <f t="shared" si="3"/>
        <v>201.394848</v>
      </c>
      <c r="U24" s="3">
        <f t="shared" si="4"/>
        <v>75.749864000000002</v>
      </c>
      <c r="V24" s="2">
        <f t="shared" si="1"/>
        <v>0.50245499181669395</v>
      </c>
      <c r="W24" s="4">
        <f t="shared" si="5"/>
        <v>307</v>
      </c>
      <c r="X24" s="2">
        <f t="shared" si="2"/>
        <v>0.49754500818330605</v>
      </c>
      <c r="Y24" s="4">
        <f t="shared" si="6"/>
        <v>304</v>
      </c>
    </row>
    <row r="25" spans="1:25" x14ac:dyDescent="0.25">
      <c r="A25">
        <v>32</v>
      </c>
      <c r="B25" t="s">
        <v>161</v>
      </c>
      <c r="C25">
        <v>197</v>
      </c>
      <c r="D25">
        <v>210</v>
      </c>
      <c r="E25">
        <v>184</v>
      </c>
      <c r="F25">
        <v>171</v>
      </c>
      <c r="G25">
        <v>762</v>
      </c>
      <c r="I25">
        <v>578</v>
      </c>
      <c r="J25" t="s">
        <v>113</v>
      </c>
      <c r="L25">
        <f t="shared" si="7"/>
        <v>184</v>
      </c>
      <c r="M25">
        <v>4</v>
      </c>
      <c r="N25">
        <v>600</v>
      </c>
      <c r="O25" t="s">
        <v>123</v>
      </c>
      <c r="P25" t="s">
        <v>13</v>
      </c>
      <c r="Q25" t="s">
        <v>116</v>
      </c>
      <c r="R25" t="s">
        <v>121</v>
      </c>
      <c r="S25" s="3">
        <f>1600/25.4</f>
        <v>62.99212598425197</v>
      </c>
      <c r="T25" s="3">
        <f t="shared" si="3"/>
        <v>262.176176</v>
      </c>
      <c r="U25" s="3">
        <f t="shared" si="4"/>
        <v>83.460927999999996</v>
      </c>
      <c r="V25" s="2">
        <f t="shared" si="1"/>
        <v>0.5341207349081365</v>
      </c>
      <c r="W25" s="4">
        <f t="shared" si="5"/>
        <v>407</v>
      </c>
      <c r="X25" s="2">
        <f t="shared" si="2"/>
        <v>0.5</v>
      </c>
      <c r="Y25" s="4">
        <f t="shared" si="6"/>
        <v>381</v>
      </c>
    </row>
    <row r="26" spans="1:25" x14ac:dyDescent="0.25">
      <c r="A26">
        <v>33</v>
      </c>
      <c r="B26" t="s">
        <v>23</v>
      </c>
      <c r="C26">
        <v>104</v>
      </c>
      <c r="D26">
        <v>147</v>
      </c>
      <c r="E26">
        <v>162</v>
      </c>
      <c r="F26">
        <v>122</v>
      </c>
      <c r="G26">
        <v>533</v>
      </c>
      <c r="I26">
        <v>323</v>
      </c>
      <c r="J26" t="s">
        <v>114</v>
      </c>
      <c r="L26">
        <f t="shared" si="7"/>
        <v>210</v>
      </c>
      <c r="M26">
        <v>1</v>
      </c>
      <c r="N26">
        <v>450</v>
      </c>
      <c r="O26" t="s">
        <v>123</v>
      </c>
      <c r="P26" t="s">
        <v>14</v>
      </c>
      <c r="Q26" t="s">
        <v>118</v>
      </c>
      <c r="R26" t="s">
        <v>121</v>
      </c>
      <c r="S26" s="3">
        <f>1535/25.4</f>
        <v>60.433070866141733</v>
      </c>
      <c r="T26" s="3">
        <f t="shared" si="3"/>
        <v>146.51021599999999</v>
      </c>
      <c r="U26" s="3">
        <f t="shared" si="4"/>
        <v>95.254319999999993</v>
      </c>
      <c r="V26" s="2">
        <f t="shared" si="1"/>
        <v>0.47091932457786118</v>
      </c>
      <c r="W26" s="4">
        <f t="shared" si="5"/>
        <v>251</v>
      </c>
      <c r="X26" s="2">
        <f t="shared" si="2"/>
        <v>0.49906191369606001</v>
      </c>
      <c r="Y26" s="4">
        <f t="shared" si="6"/>
        <v>266</v>
      </c>
    </row>
    <row r="27" spans="1:25" x14ac:dyDescent="0.25">
      <c r="A27">
        <v>34</v>
      </c>
      <c r="B27" t="s">
        <v>48</v>
      </c>
      <c r="C27">
        <v>153</v>
      </c>
      <c r="D27">
        <v>151</v>
      </c>
      <c r="E27">
        <v>164</v>
      </c>
      <c r="F27">
        <v>164</v>
      </c>
      <c r="G27">
        <v>631</v>
      </c>
      <c r="I27">
        <v>468</v>
      </c>
      <c r="J27" t="s">
        <v>114</v>
      </c>
      <c r="L27">
        <f t="shared" si="7"/>
        <v>163</v>
      </c>
      <c r="M27">
        <v>4</v>
      </c>
      <c r="N27">
        <v>636</v>
      </c>
      <c r="O27" t="s">
        <v>123</v>
      </c>
      <c r="P27" t="s">
        <v>13</v>
      </c>
      <c r="Q27" t="s">
        <v>118</v>
      </c>
      <c r="R27" t="s">
        <v>121</v>
      </c>
      <c r="S27" s="3">
        <v>62</v>
      </c>
      <c r="T27" s="3">
        <f t="shared" si="3"/>
        <v>212.28105600000001</v>
      </c>
      <c r="U27" s="3">
        <f t="shared" si="4"/>
        <v>73.935496000000001</v>
      </c>
      <c r="V27" s="2">
        <f t="shared" si="1"/>
        <v>0.48177496038034867</v>
      </c>
      <c r="W27" s="4">
        <f t="shared" si="5"/>
        <v>304</v>
      </c>
      <c r="X27" s="2">
        <f t="shared" si="2"/>
        <v>0.50237717908082413</v>
      </c>
      <c r="Y27" s="4">
        <f t="shared" si="6"/>
        <v>317</v>
      </c>
    </row>
    <row r="28" spans="1:25" x14ac:dyDescent="0.25">
      <c r="A28">
        <v>35</v>
      </c>
      <c r="B28" t="s">
        <v>86</v>
      </c>
      <c r="C28">
        <v>158</v>
      </c>
      <c r="D28">
        <v>182</v>
      </c>
      <c r="E28">
        <v>189</v>
      </c>
      <c r="F28">
        <v>176</v>
      </c>
      <c r="G28">
        <v>705</v>
      </c>
      <c r="I28">
        <v>549</v>
      </c>
      <c r="J28" t="s">
        <v>113</v>
      </c>
      <c r="L28">
        <f t="shared" si="7"/>
        <v>156</v>
      </c>
      <c r="M28">
        <v>3</v>
      </c>
      <c r="N28">
        <v>675</v>
      </c>
      <c r="O28" t="s">
        <v>123</v>
      </c>
      <c r="P28" t="s">
        <v>14</v>
      </c>
      <c r="Q28" t="s">
        <v>118</v>
      </c>
      <c r="R28" t="s">
        <v>121</v>
      </c>
      <c r="S28" s="3">
        <v>64.5</v>
      </c>
      <c r="T28" s="3">
        <f t="shared" si="3"/>
        <v>249.022008</v>
      </c>
      <c r="U28" s="3">
        <f t="shared" si="4"/>
        <v>70.760351999999997</v>
      </c>
      <c r="V28" s="2">
        <f t="shared" si="1"/>
        <v>0.48226950354609927</v>
      </c>
      <c r="W28" s="4">
        <f t="shared" si="5"/>
        <v>340</v>
      </c>
      <c r="X28" s="2">
        <f t="shared" si="2"/>
        <v>0.49219858156028368</v>
      </c>
      <c r="Y28" s="4">
        <f t="shared" si="6"/>
        <v>347</v>
      </c>
    </row>
    <row r="29" spans="1:25" x14ac:dyDescent="0.25">
      <c r="A29">
        <v>36</v>
      </c>
      <c r="B29" t="s">
        <v>109</v>
      </c>
      <c r="C29">
        <v>143</v>
      </c>
      <c r="D29">
        <v>182</v>
      </c>
      <c r="E29">
        <v>175</v>
      </c>
      <c r="F29">
        <v>142</v>
      </c>
      <c r="G29">
        <v>640</v>
      </c>
      <c r="I29">
        <v>462</v>
      </c>
      <c r="J29" t="s">
        <v>113</v>
      </c>
      <c r="L29">
        <f t="shared" si="7"/>
        <v>178</v>
      </c>
      <c r="M29">
        <v>4</v>
      </c>
      <c r="N29">
        <v>599</v>
      </c>
      <c r="O29" t="s">
        <v>123</v>
      </c>
      <c r="P29" t="s">
        <v>13</v>
      </c>
      <c r="Q29" t="s">
        <v>118</v>
      </c>
      <c r="R29" t="s">
        <v>121</v>
      </c>
      <c r="S29" s="3">
        <v>64</v>
      </c>
      <c r="T29" s="3">
        <f t="shared" si="3"/>
        <v>209.559504</v>
      </c>
      <c r="U29" s="3">
        <f t="shared" si="4"/>
        <v>80.739375999999993</v>
      </c>
      <c r="V29" s="2">
        <f t="shared" si="1"/>
        <v>0.5078125</v>
      </c>
      <c r="W29" s="4">
        <f t="shared" si="5"/>
        <v>325</v>
      </c>
      <c r="X29" s="2">
        <f t="shared" si="2"/>
        <v>0.49687500000000001</v>
      </c>
      <c r="Y29" s="4">
        <f t="shared" si="6"/>
        <v>318</v>
      </c>
    </row>
    <row r="30" spans="1:25" x14ac:dyDescent="0.25">
      <c r="A30">
        <v>37</v>
      </c>
      <c r="B30" t="s">
        <v>47</v>
      </c>
      <c r="C30">
        <v>105</v>
      </c>
      <c r="D30">
        <v>141</v>
      </c>
      <c r="E30">
        <v>187</v>
      </c>
      <c r="F30">
        <v>144</v>
      </c>
      <c r="G30">
        <v>574</v>
      </c>
      <c r="I30">
        <v>426</v>
      </c>
      <c r="J30" t="s">
        <v>114</v>
      </c>
      <c r="L30">
        <f t="shared" si="7"/>
        <v>148</v>
      </c>
      <c r="M30">
        <v>4</v>
      </c>
      <c r="N30">
        <v>600</v>
      </c>
      <c r="O30" t="s">
        <v>123</v>
      </c>
      <c r="P30" t="s">
        <v>133</v>
      </c>
      <c r="Q30" t="s">
        <v>118</v>
      </c>
      <c r="R30" t="s">
        <v>122</v>
      </c>
      <c r="S30" s="3">
        <v>64</v>
      </c>
      <c r="T30" s="3">
        <f t="shared" si="3"/>
        <v>193.23019199999999</v>
      </c>
      <c r="U30" s="3">
        <f t="shared" si="4"/>
        <v>67.131615999999994</v>
      </c>
      <c r="V30" s="2">
        <f t="shared" si="1"/>
        <v>0.42857142857142855</v>
      </c>
      <c r="W30" s="4">
        <f t="shared" si="5"/>
        <v>246</v>
      </c>
      <c r="X30" s="2">
        <f t="shared" si="2"/>
        <v>0.50871080139372826</v>
      </c>
      <c r="Y30" s="4">
        <f t="shared" si="6"/>
        <v>292</v>
      </c>
    </row>
    <row r="31" spans="1:25" x14ac:dyDescent="0.25">
      <c r="A31">
        <v>38</v>
      </c>
      <c r="B31" t="s">
        <v>52</v>
      </c>
      <c r="C31">
        <v>147</v>
      </c>
      <c r="D31">
        <v>156</v>
      </c>
      <c r="E31">
        <v>156</v>
      </c>
      <c r="F31">
        <v>144</v>
      </c>
      <c r="G31">
        <v>602</v>
      </c>
      <c r="I31">
        <v>438</v>
      </c>
      <c r="J31" t="s">
        <v>114</v>
      </c>
      <c r="L31">
        <f t="shared" si="7"/>
        <v>164</v>
      </c>
      <c r="M31">
        <v>4</v>
      </c>
      <c r="N31">
        <v>599</v>
      </c>
      <c r="O31" t="s">
        <v>123</v>
      </c>
      <c r="P31" t="s">
        <v>13</v>
      </c>
      <c r="Q31" t="s">
        <v>116</v>
      </c>
      <c r="R31" t="s">
        <v>121</v>
      </c>
      <c r="S31" s="3">
        <v>63</v>
      </c>
      <c r="T31" s="3">
        <f t="shared" si="3"/>
        <v>198.67329599999999</v>
      </c>
      <c r="U31" s="3">
        <f t="shared" si="4"/>
        <v>74.389088000000001</v>
      </c>
      <c r="V31" s="2">
        <f t="shared" si="1"/>
        <v>0.50332225913621265</v>
      </c>
      <c r="W31" s="4">
        <f t="shared" si="5"/>
        <v>303</v>
      </c>
      <c r="X31" s="2">
        <f t="shared" si="2"/>
        <v>0.50332225913621265</v>
      </c>
      <c r="Y31" s="4">
        <f t="shared" si="6"/>
        <v>303</v>
      </c>
    </row>
    <row r="32" spans="1:25" x14ac:dyDescent="0.25">
      <c r="A32">
        <v>39</v>
      </c>
      <c r="B32" t="s">
        <v>44</v>
      </c>
      <c r="C32">
        <v>164</v>
      </c>
      <c r="D32">
        <v>162</v>
      </c>
      <c r="E32">
        <v>171</v>
      </c>
      <c r="F32">
        <v>162</v>
      </c>
      <c r="G32">
        <v>660</v>
      </c>
      <c r="I32">
        <v>471</v>
      </c>
      <c r="J32" t="s">
        <v>113</v>
      </c>
      <c r="L32">
        <f t="shared" si="7"/>
        <v>189</v>
      </c>
      <c r="M32">
        <v>4</v>
      </c>
      <c r="N32">
        <v>600</v>
      </c>
      <c r="O32" t="s">
        <v>123</v>
      </c>
      <c r="P32" t="s">
        <v>13</v>
      </c>
      <c r="Q32" t="s">
        <v>117</v>
      </c>
      <c r="R32" t="s">
        <v>121</v>
      </c>
      <c r="S32" s="3">
        <v>62.5</v>
      </c>
      <c r="T32" s="3">
        <f t="shared" si="3"/>
        <v>213.64183199999999</v>
      </c>
      <c r="U32" s="3">
        <f t="shared" si="4"/>
        <v>85.728887999999998</v>
      </c>
      <c r="V32" s="2">
        <f t="shared" si="1"/>
        <v>0.49393939393939396</v>
      </c>
      <c r="W32" s="4">
        <f t="shared" si="5"/>
        <v>326</v>
      </c>
      <c r="X32" s="2">
        <f t="shared" si="2"/>
        <v>0.50757575757575757</v>
      </c>
      <c r="Y32" s="4">
        <f t="shared" si="6"/>
        <v>335</v>
      </c>
    </row>
    <row r="33" spans="1:25" x14ac:dyDescent="0.25">
      <c r="A33">
        <v>40</v>
      </c>
      <c r="B33" t="s">
        <v>162</v>
      </c>
      <c r="C33">
        <v>149</v>
      </c>
      <c r="D33">
        <v>170</v>
      </c>
      <c r="E33">
        <v>187</v>
      </c>
      <c r="F33">
        <v>154</v>
      </c>
      <c r="G33">
        <v>659</v>
      </c>
      <c r="I33">
        <v>489</v>
      </c>
      <c r="J33" t="s">
        <v>113</v>
      </c>
      <c r="L33">
        <f t="shared" si="7"/>
        <v>170</v>
      </c>
      <c r="M33">
        <v>4</v>
      </c>
      <c r="N33">
        <v>600</v>
      </c>
      <c r="O33" t="s">
        <v>123</v>
      </c>
      <c r="P33" t="s">
        <v>13</v>
      </c>
      <c r="Q33" t="s">
        <v>117</v>
      </c>
      <c r="R33" t="s">
        <v>121</v>
      </c>
      <c r="S33" s="3">
        <v>61.5</v>
      </c>
      <c r="T33" s="3">
        <f t="shared" si="3"/>
        <v>221.806488</v>
      </c>
      <c r="U33" s="3">
        <f t="shared" si="4"/>
        <v>77.110640000000004</v>
      </c>
      <c r="V33" s="2">
        <f t="shared" si="1"/>
        <v>0.48406676783004554</v>
      </c>
      <c r="W33" s="4">
        <f t="shared" si="5"/>
        <v>319</v>
      </c>
      <c r="X33" s="2">
        <f t="shared" si="2"/>
        <v>0.50986342943854324</v>
      </c>
      <c r="Y33" s="4">
        <f t="shared" si="6"/>
        <v>336</v>
      </c>
    </row>
    <row r="34" spans="1:25" x14ac:dyDescent="0.25">
      <c r="A34">
        <v>41</v>
      </c>
      <c r="B34" t="s">
        <v>43</v>
      </c>
      <c r="C34">
        <v>183</v>
      </c>
      <c r="D34">
        <v>206</v>
      </c>
      <c r="E34">
        <v>183</v>
      </c>
      <c r="F34">
        <v>162</v>
      </c>
      <c r="G34">
        <v>734</v>
      </c>
      <c r="I34">
        <v>547</v>
      </c>
      <c r="J34" t="s">
        <v>114</v>
      </c>
      <c r="L34">
        <f t="shared" si="7"/>
        <v>187</v>
      </c>
      <c r="M34">
        <v>4</v>
      </c>
      <c r="N34">
        <v>599</v>
      </c>
      <c r="O34" t="s">
        <v>123</v>
      </c>
      <c r="P34" t="s">
        <v>13</v>
      </c>
      <c r="Q34" t="s">
        <v>116</v>
      </c>
      <c r="R34" t="s">
        <v>122</v>
      </c>
      <c r="S34" s="3">
        <v>60</v>
      </c>
      <c r="T34" s="3">
        <f t="shared" si="3"/>
        <v>248.114824</v>
      </c>
      <c r="U34" s="3">
        <f t="shared" si="4"/>
        <v>84.821703999999997</v>
      </c>
      <c r="V34" s="2">
        <f t="shared" si="1"/>
        <v>0.52997275204359673</v>
      </c>
      <c r="W34" s="4">
        <f t="shared" si="5"/>
        <v>389</v>
      </c>
      <c r="X34" s="2">
        <f t="shared" si="2"/>
        <v>0.49863760217983649</v>
      </c>
      <c r="Y34" s="4">
        <f t="shared" si="6"/>
        <v>366</v>
      </c>
    </row>
    <row r="35" spans="1:25" x14ac:dyDescent="0.25">
      <c r="A35">
        <v>42</v>
      </c>
      <c r="B35" t="s">
        <v>163</v>
      </c>
      <c r="C35">
        <v>173</v>
      </c>
      <c r="D35">
        <v>169</v>
      </c>
      <c r="E35">
        <v>176</v>
      </c>
      <c r="F35">
        <v>172</v>
      </c>
      <c r="G35">
        <v>690</v>
      </c>
      <c r="I35">
        <v>524</v>
      </c>
      <c r="J35" t="s">
        <v>113</v>
      </c>
      <c r="L35">
        <f t="shared" si="7"/>
        <v>166</v>
      </c>
      <c r="M35">
        <v>4</v>
      </c>
      <c r="N35">
        <v>600</v>
      </c>
      <c r="O35" t="s">
        <v>123</v>
      </c>
      <c r="P35" t="s">
        <v>13</v>
      </c>
      <c r="Q35" t="s">
        <v>116</v>
      </c>
      <c r="R35" t="s">
        <v>121</v>
      </c>
      <c r="S35" s="3">
        <v>60</v>
      </c>
      <c r="T35" s="3">
        <f t="shared" si="3"/>
        <v>237.682208</v>
      </c>
      <c r="U35" s="3">
        <f t="shared" si="4"/>
        <v>75.296272000000002</v>
      </c>
      <c r="V35" s="2">
        <f t="shared" si="1"/>
        <v>0.4956521739130435</v>
      </c>
      <c r="W35" s="4">
        <f t="shared" si="5"/>
        <v>342</v>
      </c>
      <c r="X35" s="2">
        <f t="shared" si="2"/>
        <v>0.50579710144927537</v>
      </c>
      <c r="Y35" s="4">
        <f t="shared" si="6"/>
        <v>349</v>
      </c>
    </row>
    <row r="36" spans="1:25" x14ac:dyDescent="0.25">
      <c r="A36">
        <v>43</v>
      </c>
      <c r="B36" t="s">
        <v>78</v>
      </c>
      <c r="C36">
        <v>128</v>
      </c>
      <c r="D36">
        <v>136</v>
      </c>
      <c r="E36">
        <v>137</v>
      </c>
      <c r="F36">
        <v>137</v>
      </c>
      <c r="G36">
        <v>538</v>
      </c>
      <c r="I36">
        <v>375</v>
      </c>
      <c r="J36" t="s">
        <v>114</v>
      </c>
      <c r="L36">
        <f t="shared" si="7"/>
        <v>163</v>
      </c>
      <c r="M36">
        <v>1</v>
      </c>
      <c r="N36">
        <v>449</v>
      </c>
      <c r="O36" t="s">
        <v>123</v>
      </c>
      <c r="P36" t="s">
        <v>13</v>
      </c>
      <c r="Q36" t="s">
        <v>116</v>
      </c>
      <c r="R36" t="s">
        <v>121</v>
      </c>
      <c r="S36" s="3">
        <v>61.5</v>
      </c>
      <c r="T36" s="3">
        <f t="shared" si="3"/>
        <v>170.09700000000001</v>
      </c>
      <c r="U36" s="3">
        <f t="shared" si="4"/>
        <v>73.935496000000001</v>
      </c>
      <c r="V36" s="2">
        <f t="shared" si="1"/>
        <v>0.49070631970260226</v>
      </c>
      <c r="W36" s="4">
        <f t="shared" si="5"/>
        <v>264</v>
      </c>
      <c r="X36" s="2">
        <f t="shared" si="2"/>
        <v>0.49256505576208176</v>
      </c>
      <c r="Y36" s="4">
        <f t="shared" si="6"/>
        <v>265</v>
      </c>
    </row>
    <row r="37" spans="1:25" x14ac:dyDescent="0.25">
      <c r="A37">
        <v>44</v>
      </c>
      <c r="B37" t="s">
        <v>164</v>
      </c>
      <c r="C37">
        <v>159</v>
      </c>
      <c r="D37">
        <v>226</v>
      </c>
      <c r="E37">
        <v>205</v>
      </c>
      <c r="F37">
        <v>136</v>
      </c>
      <c r="G37">
        <v>725</v>
      </c>
      <c r="I37">
        <v>563</v>
      </c>
      <c r="J37" t="s">
        <v>113</v>
      </c>
      <c r="L37">
        <f t="shared" si="7"/>
        <v>162</v>
      </c>
      <c r="M37">
        <v>4</v>
      </c>
      <c r="N37">
        <v>599</v>
      </c>
      <c r="O37" t="s">
        <v>123</v>
      </c>
      <c r="P37" t="s">
        <v>13</v>
      </c>
      <c r="Q37" t="s">
        <v>117</v>
      </c>
      <c r="R37" t="s">
        <v>121</v>
      </c>
      <c r="S37" s="3">
        <f>1525/25.4</f>
        <v>60.039370078740163</v>
      </c>
      <c r="T37" s="3">
        <f t="shared" si="3"/>
        <v>255.37229600000001</v>
      </c>
      <c r="U37" s="3">
        <f t="shared" si="4"/>
        <v>73.481904</v>
      </c>
      <c r="V37" s="2">
        <f t="shared" si="1"/>
        <v>0.53103448275862064</v>
      </c>
      <c r="W37" s="4">
        <f t="shared" si="5"/>
        <v>385</v>
      </c>
      <c r="X37" s="2">
        <f t="shared" si="2"/>
        <v>0.50206896551724134</v>
      </c>
      <c r="Y37" s="4">
        <f t="shared" si="6"/>
        <v>364</v>
      </c>
    </row>
    <row r="38" spans="1:25" x14ac:dyDescent="0.25">
      <c r="A38">
        <v>46</v>
      </c>
      <c r="B38" t="s">
        <v>26</v>
      </c>
      <c r="C38">
        <v>130</v>
      </c>
      <c r="D38">
        <v>148</v>
      </c>
      <c r="E38">
        <v>156</v>
      </c>
      <c r="F38">
        <v>140</v>
      </c>
      <c r="G38">
        <v>575</v>
      </c>
      <c r="I38">
        <v>435</v>
      </c>
      <c r="J38" t="s">
        <v>113</v>
      </c>
      <c r="L38">
        <f t="shared" si="7"/>
        <v>140</v>
      </c>
      <c r="M38">
        <v>3</v>
      </c>
      <c r="N38">
        <v>675</v>
      </c>
      <c r="O38" t="s">
        <v>123</v>
      </c>
      <c r="P38" t="s">
        <v>13</v>
      </c>
      <c r="Q38" t="s">
        <v>118</v>
      </c>
      <c r="R38" t="s">
        <v>121</v>
      </c>
      <c r="S38" s="3">
        <v>61.5</v>
      </c>
      <c r="T38" s="3">
        <f t="shared" si="3"/>
        <v>197.31252000000001</v>
      </c>
      <c r="U38" s="3">
        <f t="shared" si="4"/>
        <v>63.502879999999998</v>
      </c>
      <c r="V38" s="2">
        <f t="shared" si="1"/>
        <v>0.48347826086956519</v>
      </c>
      <c r="W38" s="4">
        <f t="shared" si="5"/>
        <v>278</v>
      </c>
      <c r="X38" s="2">
        <f t="shared" si="2"/>
        <v>0.49739130434782608</v>
      </c>
      <c r="Y38" s="4">
        <f t="shared" si="6"/>
        <v>286</v>
      </c>
    </row>
    <row r="39" spans="1:25" x14ac:dyDescent="0.25">
      <c r="A39">
        <v>47</v>
      </c>
      <c r="B39" t="s">
        <v>35</v>
      </c>
      <c r="C39">
        <v>130</v>
      </c>
      <c r="D39">
        <v>146</v>
      </c>
      <c r="E39">
        <v>187</v>
      </c>
      <c r="F39">
        <v>173</v>
      </c>
      <c r="G39">
        <v>636</v>
      </c>
      <c r="I39">
        <v>452</v>
      </c>
      <c r="J39" t="s">
        <v>113</v>
      </c>
      <c r="L39">
        <f t="shared" si="7"/>
        <v>184</v>
      </c>
      <c r="M39">
        <v>4</v>
      </c>
      <c r="N39">
        <v>600</v>
      </c>
      <c r="O39" t="s">
        <v>123</v>
      </c>
      <c r="P39" t="s">
        <v>13</v>
      </c>
      <c r="Q39" t="s">
        <v>117</v>
      </c>
      <c r="R39" t="s">
        <v>121</v>
      </c>
      <c r="S39" s="3">
        <v>60</v>
      </c>
      <c r="T39" s="3">
        <f t="shared" si="3"/>
        <v>205.023584</v>
      </c>
      <c r="U39" s="3">
        <f t="shared" si="4"/>
        <v>83.460927999999996</v>
      </c>
      <c r="V39" s="2">
        <f t="shared" si="1"/>
        <v>0.43396226415094341</v>
      </c>
      <c r="W39" s="4">
        <f t="shared" si="5"/>
        <v>276</v>
      </c>
      <c r="X39" s="2">
        <f t="shared" si="2"/>
        <v>0.49842767295597484</v>
      </c>
      <c r="Y39" s="4">
        <f t="shared" si="6"/>
        <v>317</v>
      </c>
    </row>
    <row r="40" spans="1:25" s="17" customFormat="1" x14ac:dyDescent="0.25">
      <c r="A40" s="17">
        <v>48</v>
      </c>
      <c r="B40" s="17" t="s">
        <v>165</v>
      </c>
      <c r="H40" s="21"/>
      <c r="K40" s="21"/>
      <c r="L40" s="17" t="str">
        <f t="shared" si="7"/>
        <v/>
      </c>
      <c r="S40" s="18"/>
      <c r="T40" s="18">
        <f t="shared" si="3"/>
        <v>0</v>
      </c>
      <c r="U40" s="18" t="e">
        <f t="shared" si="4"/>
        <v>#VALUE!</v>
      </c>
      <c r="V40" s="19" t="str">
        <f t="shared" si="1"/>
        <v/>
      </c>
      <c r="W40" s="20">
        <f t="shared" si="5"/>
        <v>0</v>
      </c>
      <c r="X40" s="19" t="str">
        <f t="shared" si="2"/>
        <v/>
      </c>
      <c r="Y40" s="20">
        <f t="shared" si="6"/>
        <v>0</v>
      </c>
    </row>
    <row r="41" spans="1:25" x14ac:dyDescent="0.25">
      <c r="A41">
        <v>49</v>
      </c>
      <c r="B41" t="s">
        <v>166</v>
      </c>
      <c r="C41">
        <v>170</v>
      </c>
      <c r="D41">
        <v>183</v>
      </c>
      <c r="E41">
        <v>186</v>
      </c>
      <c r="F41">
        <v>171</v>
      </c>
      <c r="G41">
        <v>710</v>
      </c>
      <c r="I41">
        <v>533</v>
      </c>
      <c r="J41" t="s">
        <v>113</v>
      </c>
      <c r="L41">
        <f t="shared" si="7"/>
        <v>177</v>
      </c>
      <c r="M41">
        <v>4</v>
      </c>
      <c r="N41">
        <v>600</v>
      </c>
      <c r="O41" t="s">
        <v>123</v>
      </c>
      <c r="P41" t="s">
        <v>13</v>
      </c>
      <c r="Q41" t="s">
        <v>116</v>
      </c>
      <c r="R41" t="s">
        <v>122</v>
      </c>
      <c r="S41" s="3">
        <v>68</v>
      </c>
      <c r="T41" s="3">
        <f t="shared" si="3"/>
        <v>241.76453599999999</v>
      </c>
      <c r="U41" s="3">
        <f t="shared" si="4"/>
        <v>80.285783999999992</v>
      </c>
      <c r="V41" s="2">
        <f t="shared" si="1"/>
        <v>0.4971830985915493</v>
      </c>
      <c r="W41" s="4">
        <f t="shared" si="5"/>
        <v>353</v>
      </c>
      <c r="X41" s="2">
        <f t="shared" si="2"/>
        <v>0.50140845070422535</v>
      </c>
      <c r="Y41" s="4">
        <f t="shared" si="6"/>
        <v>356</v>
      </c>
    </row>
    <row r="42" spans="1:25" x14ac:dyDescent="0.25">
      <c r="A42">
        <v>50</v>
      </c>
      <c r="B42" t="s">
        <v>75</v>
      </c>
      <c r="C42">
        <v>145</v>
      </c>
      <c r="D42">
        <v>140</v>
      </c>
      <c r="E42">
        <v>143</v>
      </c>
      <c r="F42">
        <v>167</v>
      </c>
      <c r="G42">
        <v>595</v>
      </c>
      <c r="I42">
        <v>445</v>
      </c>
      <c r="J42" t="s">
        <v>113</v>
      </c>
      <c r="L42">
        <f t="shared" si="7"/>
        <v>150</v>
      </c>
      <c r="M42">
        <v>2</v>
      </c>
      <c r="N42">
        <v>499</v>
      </c>
      <c r="O42" t="s">
        <v>123</v>
      </c>
      <c r="P42" t="s">
        <v>13</v>
      </c>
      <c r="Q42" t="s">
        <v>118</v>
      </c>
      <c r="R42" t="s">
        <v>121</v>
      </c>
      <c r="S42" s="3">
        <v>66</v>
      </c>
      <c r="T42" s="3">
        <f t="shared" si="3"/>
        <v>201.84844000000001</v>
      </c>
      <c r="U42" s="3">
        <f t="shared" si="4"/>
        <v>68.038799999999995</v>
      </c>
      <c r="V42" s="2">
        <f t="shared" si="1"/>
        <v>0.47899159663865548</v>
      </c>
      <c r="W42" s="4">
        <f t="shared" si="5"/>
        <v>285</v>
      </c>
      <c r="X42" s="2">
        <f t="shared" si="2"/>
        <v>0.48403361344537815</v>
      </c>
      <c r="Y42" s="4">
        <f t="shared" si="6"/>
        <v>288</v>
      </c>
    </row>
    <row r="43" spans="1:25" x14ac:dyDescent="0.25">
      <c r="A43">
        <v>51</v>
      </c>
      <c r="B43" t="s">
        <v>55</v>
      </c>
      <c r="C43">
        <v>141</v>
      </c>
      <c r="D43">
        <v>155</v>
      </c>
      <c r="E43">
        <v>179</v>
      </c>
      <c r="F43">
        <v>165</v>
      </c>
      <c r="G43">
        <v>639</v>
      </c>
      <c r="I43">
        <v>499</v>
      </c>
      <c r="J43" t="s">
        <v>114</v>
      </c>
      <c r="L43">
        <f t="shared" si="7"/>
        <v>140</v>
      </c>
      <c r="M43">
        <v>4</v>
      </c>
      <c r="N43">
        <v>599</v>
      </c>
      <c r="O43" t="s">
        <v>123</v>
      </c>
      <c r="P43" t="s">
        <v>13</v>
      </c>
      <c r="Q43" t="s">
        <v>118</v>
      </c>
      <c r="R43" t="s">
        <v>122</v>
      </c>
      <c r="S43" s="3">
        <f>1550/25.4</f>
        <v>61.023622047244096</v>
      </c>
      <c r="T43" s="3">
        <f t="shared" si="3"/>
        <v>226.34240800000001</v>
      </c>
      <c r="U43" s="3">
        <f t="shared" si="4"/>
        <v>63.502879999999998</v>
      </c>
      <c r="V43" s="2">
        <f t="shared" si="1"/>
        <v>0.46322378716744916</v>
      </c>
      <c r="W43" s="4">
        <f t="shared" si="5"/>
        <v>296</v>
      </c>
      <c r="X43" s="2">
        <f t="shared" si="2"/>
        <v>0.50078247261345854</v>
      </c>
      <c r="Y43" s="4">
        <f t="shared" si="6"/>
        <v>320</v>
      </c>
    </row>
    <row r="44" spans="1:25" x14ac:dyDescent="0.25">
      <c r="A44">
        <v>52</v>
      </c>
      <c r="B44" t="s">
        <v>99</v>
      </c>
      <c r="C44">
        <v>155</v>
      </c>
      <c r="D44">
        <v>170</v>
      </c>
      <c r="E44">
        <v>163</v>
      </c>
      <c r="F44">
        <v>142</v>
      </c>
      <c r="G44">
        <v>630</v>
      </c>
      <c r="I44">
        <v>474</v>
      </c>
      <c r="J44" t="s">
        <v>113</v>
      </c>
      <c r="L44">
        <f t="shared" si="7"/>
        <v>156</v>
      </c>
      <c r="M44">
        <v>4</v>
      </c>
      <c r="N44">
        <v>600</v>
      </c>
      <c r="O44" t="s">
        <v>123</v>
      </c>
      <c r="P44" t="s">
        <v>133</v>
      </c>
      <c r="Q44" t="s">
        <v>118</v>
      </c>
      <c r="R44" t="s">
        <v>121</v>
      </c>
      <c r="S44" s="3">
        <f>1550/25.4</f>
        <v>61.023622047244096</v>
      </c>
      <c r="T44" s="3">
        <f t="shared" si="3"/>
        <v>215.00260800000001</v>
      </c>
      <c r="U44" s="3">
        <f t="shared" si="4"/>
        <v>70.760351999999997</v>
      </c>
      <c r="V44" s="2">
        <f t="shared" si="1"/>
        <v>0.51587301587301593</v>
      </c>
      <c r="W44" s="4">
        <f t="shared" si="5"/>
        <v>325</v>
      </c>
      <c r="X44" s="2">
        <f t="shared" si="2"/>
        <v>0.50476190476190474</v>
      </c>
      <c r="Y44" s="4">
        <f t="shared" si="6"/>
        <v>318</v>
      </c>
    </row>
    <row r="45" spans="1:25" x14ac:dyDescent="0.25">
      <c r="A45">
        <v>54</v>
      </c>
      <c r="B45" t="s">
        <v>42</v>
      </c>
      <c r="C45">
        <v>179</v>
      </c>
      <c r="D45">
        <v>190</v>
      </c>
      <c r="E45">
        <v>157</v>
      </c>
      <c r="F45">
        <v>155</v>
      </c>
      <c r="G45">
        <v>681</v>
      </c>
      <c r="I45">
        <v>503</v>
      </c>
      <c r="J45" t="s">
        <v>114</v>
      </c>
      <c r="L45">
        <f t="shared" si="7"/>
        <v>178</v>
      </c>
      <c r="M45">
        <v>2</v>
      </c>
      <c r="N45">
        <v>499</v>
      </c>
      <c r="O45" t="s">
        <v>125</v>
      </c>
      <c r="P45" t="s">
        <v>13</v>
      </c>
      <c r="Q45" t="s">
        <v>118</v>
      </c>
      <c r="R45" t="s">
        <v>121</v>
      </c>
      <c r="S45" s="3">
        <v>61</v>
      </c>
      <c r="T45" s="3">
        <f t="shared" si="3"/>
        <v>228.15677600000001</v>
      </c>
      <c r="U45" s="3">
        <f t="shared" si="4"/>
        <v>80.739375999999993</v>
      </c>
      <c r="V45" s="2">
        <f t="shared" si="1"/>
        <v>0.54185022026431717</v>
      </c>
      <c r="W45" s="4">
        <f t="shared" si="5"/>
        <v>369</v>
      </c>
      <c r="X45" s="2">
        <f t="shared" si="2"/>
        <v>0.4933920704845815</v>
      </c>
      <c r="Y45" s="4">
        <f t="shared" si="6"/>
        <v>336</v>
      </c>
    </row>
    <row r="46" spans="1:25" x14ac:dyDescent="0.25">
      <c r="A46">
        <v>55</v>
      </c>
      <c r="B46" t="s">
        <v>94</v>
      </c>
      <c r="C46">
        <v>107</v>
      </c>
      <c r="D46">
        <v>140</v>
      </c>
      <c r="E46">
        <v>144</v>
      </c>
      <c r="F46">
        <v>107</v>
      </c>
      <c r="G46">
        <v>498</v>
      </c>
      <c r="I46">
        <v>368</v>
      </c>
      <c r="J46" t="s">
        <v>113</v>
      </c>
      <c r="L46">
        <f t="shared" si="7"/>
        <v>130</v>
      </c>
      <c r="M46">
        <v>1</v>
      </c>
      <c r="N46">
        <v>450</v>
      </c>
      <c r="O46" t="s">
        <v>123</v>
      </c>
      <c r="P46" t="s">
        <v>13</v>
      </c>
      <c r="Q46" t="s">
        <v>118</v>
      </c>
      <c r="R46" t="s">
        <v>121</v>
      </c>
      <c r="S46" s="3">
        <v>60</v>
      </c>
      <c r="T46" s="3">
        <f t="shared" si="3"/>
        <v>166.92185599999999</v>
      </c>
      <c r="U46" s="3">
        <f t="shared" si="4"/>
        <v>58.96696</v>
      </c>
      <c r="V46" s="2">
        <f t="shared" si="1"/>
        <v>0.49598393574297189</v>
      </c>
      <c r="W46" s="4">
        <f t="shared" si="5"/>
        <v>247</v>
      </c>
      <c r="X46" s="2">
        <f t="shared" si="2"/>
        <v>0.50401606425702816</v>
      </c>
      <c r="Y46" s="4">
        <f t="shared" si="6"/>
        <v>251</v>
      </c>
    </row>
    <row r="47" spans="1:25" x14ac:dyDescent="0.25">
      <c r="A47">
        <v>56</v>
      </c>
      <c r="B47" t="s">
        <v>76</v>
      </c>
      <c r="C47">
        <v>117</v>
      </c>
      <c r="D47">
        <v>170</v>
      </c>
      <c r="E47">
        <v>183</v>
      </c>
      <c r="F47">
        <v>121</v>
      </c>
      <c r="G47">
        <v>591</v>
      </c>
      <c r="I47">
        <v>468</v>
      </c>
      <c r="J47" t="s">
        <v>114</v>
      </c>
      <c r="L47">
        <f t="shared" si="7"/>
        <v>123</v>
      </c>
      <c r="M47">
        <v>4</v>
      </c>
      <c r="N47">
        <v>599</v>
      </c>
      <c r="O47" t="s">
        <v>123</v>
      </c>
      <c r="P47" t="s">
        <v>13</v>
      </c>
      <c r="Q47" t="s">
        <v>118</v>
      </c>
      <c r="R47" t="s">
        <v>121</v>
      </c>
      <c r="S47" s="3">
        <f>1535/25.4</f>
        <v>60.433070866141733</v>
      </c>
      <c r="T47" s="3">
        <f t="shared" si="3"/>
        <v>212.28105600000001</v>
      </c>
      <c r="U47" s="3">
        <f t="shared" si="4"/>
        <v>55.791815999999997</v>
      </c>
      <c r="V47" s="2">
        <f t="shared" si="1"/>
        <v>0.48561759729272419</v>
      </c>
      <c r="W47" s="4">
        <f t="shared" si="5"/>
        <v>287</v>
      </c>
      <c r="X47" s="2">
        <f t="shared" si="2"/>
        <v>0.50761421319796951</v>
      </c>
      <c r="Y47" s="4">
        <f t="shared" si="6"/>
        <v>300</v>
      </c>
    </row>
    <row r="48" spans="1:25" x14ac:dyDescent="0.25">
      <c r="A48">
        <v>58</v>
      </c>
      <c r="B48" t="s">
        <v>167</v>
      </c>
      <c r="C48">
        <v>141</v>
      </c>
      <c r="D48">
        <v>145</v>
      </c>
      <c r="E48">
        <v>122</v>
      </c>
      <c r="F48">
        <v>119</v>
      </c>
      <c r="G48">
        <v>527</v>
      </c>
      <c r="I48">
        <v>390</v>
      </c>
      <c r="J48" t="s">
        <v>113</v>
      </c>
      <c r="L48">
        <f t="shared" si="7"/>
        <v>137</v>
      </c>
      <c r="M48">
        <v>4</v>
      </c>
      <c r="N48">
        <v>599</v>
      </c>
      <c r="O48" t="s">
        <v>123</v>
      </c>
      <c r="P48" t="s">
        <v>13</v>
      </c>
      <c r="Q48" t="s">
        <v>116</v>
      </c>
      <c r="R48" t="s">
        <v>121</v>
      </c>
      <c r="S48" s="3">
        <v>60.5</v>
      </c>
      <c r="T48" s="3">
        <f t="shared" si="3"/>
        <v>176.90088</v>
      </c>
      <c r="U48" s="3">
        <f t="shared" si="4"/>
        <v>62.142103999999996</v>
      </c>
      <c r="V48" s="14">
        <f t="shared" si="1"/>
        <v>0.54269449715370022</v>
      </c>
      <c r="W48" s="15">
        <f t="shared" si="5"/>
        <v>286</v>
      </c>
      <c r="X48" s="14">
        <f t="shared" si="2"/>
        <v>0.49905123339658441</v>
      </c>
      <c r="Y48" s="15">
        <f t="shared" si="6"/>
        <v>263</v>
      </c>
    </row>
    <row r="49" spans="1:25" s="17" customFormat="1" x14ac:dyDescent="0.25">
      <c r="A49" s="17">
        <v>61</v>
      </c>
      <c r="B49" s="17" t="s">
        <v>168</v>
      </c>
      <c r="H49" s="21"/>
      <c r="K49" s="21"/>
      <c r="L49" s="17" t="str">
        <f t="shared" si="7"/>
        <v/>
      </c>
      <c r="S49" s="18"/>
      <c r="T49" s="18">
        <f t="shared" si="3"/>
        <v>0</v>
      </c>
      <c r="U49" s="18" t="e">
        <f t="shared" si="4"/>
        <v>#VALUE!</v>
      </c>
      <c r="V49" s="19" t="str">
        <f t="shared" si="1"/>
        <v/>
      </c>
      <c r="W49" s="20">
        <f t="shared" si="5"/>
        <v>0</v>
      </c>
      <c r="X49" s="19" t="str">
        <f t="shared" si="2"/>
        <v/>
      </c>
      <c r="Y49" s="20">
        <f t="shared" si="6"/>
        <v>0</v>
      </c>
    </row>
    <row r="50" spans="1:25" x14ac:dyDescent="0.25">
      <c r="A50">
        <v>62</v>
      </c>
      <c r="B50" t="s">
        <v>27</v>
      </c>
      <c r="C50">
        <v>136</v>
      </c>
      <c r="D50">
        <v>149</v>
      </c>
      <c r="E50">
        <v>166</v>
      </c>
      <c r="F50">
        <v>147</v>
      </c>
      <c r="G50">
        <v>598</v>
      </c>
      <c r="I50">
        <v>448</v>
      </c>
      <c r="J50" t="s">
        <v>113</v>
      </c>
      <c r="L50">
        <f t="shared" si="7"/>
        <v>150</v>
      </c>
      <c r="M50">
        <v>4</v>
      </c>
      <c r="N50">
        <v>600</v>
      </c>
      <c r="O50" t="s">
        <v>123</v>
      </c>
      <c r="P50" t="s">
        <v>13</v>
      </c>
      <c r="Q50" t="s">
        <v>118</v>
      </c>
      <c r="R50" t="s">
        <v>121</v>
      </c>
      <c r="S50" s="3">
        <f>1600/25.4</f>
        <v>62.99212598425197</v>
      </c>
      <c r="T50" s="3">
        <f t="shared" si="3"/>
        <v>203.209216</v>
      </c>
      <c r="U50" s="3">
        <f t="shared" si="4"/>
        <v>68.038799999999995</v>
      </c>
      <c r="V50" s="2">
        <f t="shared" si="1"/>
        <v>0.47658862876254182</v>
      </c>
      <c r="W50" s="4">
        <f t="shared" si="5"/>
        <v>285</v>
      </c>
      <c r="X50" s="2">
        <f t="shared" si="2"/>
        <v>0.50501672240802675</v>
      </c>
      <c r="Y50" s="4">
        <f t="shared" si="6"/>
        <v>302</v>
      </c>
    </row>
    <row r="51" spans="1:25" x14ac:dyDescent="0.25">
      <c r="A51">
        <v>63</v>
      </c>
      <c r="B51" t="s">
        <v>50</v>
      </c>
      <c r="C51">
        <v>134</v>
      </c>
      <c r="D51">
        <v>174</v>
      </c>
      <c r="E51">
        <v>164</v>
      </c>
      <c r="F51">
        <v>119</v>
      </c>
      <c r="G51">
        <v>592</v>
      </c>
      <c r="I51">
        <v>430</v>
      </c>
      <c r="J51" t="s">
        <v>114</v>
      </c>
      <c r="L51">
        <f t="shared" si="7"/>
        <v>162</v>
      </c>
      <c r="M51">
        <v>4</v>
      </c>
      <c r="N51">
        <v>599</v>
      </c>
      <c r="O51" t="s">
        <v>123</v>
      </c>
      <c r="P51" t="s">
        <v>13</v>
      </c>
      <c r="Q51" t="s">
        <v>116</v>
      </c>
      <c r="R51" t="s">
        <v>121</v>
      </c>
      <c r="S51" s="3">
        <v>60.5</v>
      </c>
      <c r="T51" s="3">
        <f t="shared" si="3"/>
        <v>195.04455999999999</v>
      </c>
      <c r="U51" s="3">
        <f t="shared" si="4"/>
        <v>73.481904</v>
      </c>
      <c r="V51" s="2">
        <f t="shared" si="1"/>
        <v>0.52027027027027029</v>
      </c>
      <c r="W51" s="4">
        <f t="shared" si="5"/>
        <v>308</v>
      </c>
      <c r="X51" s="2">
        <f t="shared" si="2"/>
        <v>0.5033783783783784</v>
      </c>
      <c r="Y51" s="4">
        <f t="shared" si="6"/>
        <v>298</v>
      </c>
    </row>
    <row r="52" spans="1:25" x14ac:dyDescent="0.25">
      <c r="A52">
        <v>64</v>
      </c>
      <c r="B52" t="s">
        <v>54</v>
      </c>
      <c r="C52">
        <v>142</v>
      </c>
      <c r="D52">
        <v>161</v>
      </c>
      <c r="E52">
        <v>173</v>
      </c>
      <c r="F52">
        <v>153</v>
      </c>
      <c r="G52">
        <v>629</v>
      </c>
      <c r="I52">
        <v>471</v>
      </c>
      <c r="J52" t="s">
        <v>114</v>
      </c>
      <c r="L52">
        <f t="shared" si="7"/>
        <v>158</v>
      </c>
      <c r="M52">
        <v>4</v>
      </c>
      <c r="N52">
        <v>599</v>
      </c>
      <c r="O52" t="s">
        <v>123</v>
      </c>
      <c r="P52" t="s">
        <v>133</v>
      </c>
      <c r="Q52" t="s">
        <v>118</v>
      </c>
      <c r="R52" t="s">
        <v>121</v>
      </c>
      <c r="S52" s="3">
        <v>61</v>
      </c>
      <c r="T52" s="3">
        <f t="shared" si="3"/>
        <v>213.64183199999999</v>
      </c>
      <c r="U52" s="3">
        <f t="shared" si="4"/>
        <v>71.667535999999998</v>
      </c>
      <c r="V52" s="2">
        <f t="shared" si="1"/>
        <v>0.48171701112877585</v>
      </c>
      <c r="W52" s="4">
        <f t="shared" si="5"/>
        <v>303</v>
      </c>
      <c r="X52" s="2">
        <f t="shared" si="2"/>
        <v>0.50079491255961839</v>
      </c>
      <c r="Y52" s="4">
        <f t="shared" si="6"/>
        <v>315</v>
      </c>
    </row>
    <row r="53" spans="1:25" x14ac:dyDescent="0.25">
      <c r="A53">
        <v>65</v>
      </c>
      <c r="B53" t="s">
        <v>38</v>
      </c>
      <c r="C53">
        <v>111</v>
      </c>
      <c r="D53">
        <v>133</v>
      </c>
      <c r="E53">
        <v>137</v>
      </c>
      <c r="F53">
        <v>119</v>
      </c>
      <c r="G53">
        <v>499</v>
      </c>
      <c r="I53">
        <v>333</v>
      </c>
      <c r="J53" t="s">
        <v>114</v>
      </c>
      <c r="L53">
        <f t="shared" si="7"/>
        <v>166</v>
      </c>
      <c r="M53">
        <v>1</v>
      </c>
      <c r="N53">
        <v>450</v>
      </c>
      <c r="O53" t="s">
        <v>123</v>
      </c>
      <c r="P53" t="s">
        <v>13</v>
      </c>
      <c r="Q53" t="s">
        <v>116</v>
      </c>
      <c r="R53" t="s">
        <v>121</v>
      </c>
      <c r="S53" s="3">
        <f>1550/25.4</f>
        <v>61.023622047244096</v>
      </c>
      <c r="T53" s="3">
        <f t="shared" si="3"/>
        <v>151.04613599999999</v>
      </c>
      <c r="U53" s="3">
        <f t="shared" si="4"/>
        <v>75.296272000000002</v>
      </c>
      <c r="V53" s="2">
        <f t="shared" si="1"/>
        <v>0.48897795591182364</v>
      </c>
      <c r="W53" s="4">
        <f t="shared" si="5"/>
        <v>244</v>
      </c>
      <c r="X53" s="2">
        <f t="shared" si="2"/>
        <v>0.4969939879759519</v>
      </c>
      <c r="Y53" s="4">
        <f t="shared" si="6"/>
        <v>248</v>
      </c>
    </row>
    <row r="54" spans="1:25" x14ac:dyDescent="0.25">
      <c r="A54">
        <v>66</v>
      </c>
      <c r="B54" t="s">
        <v>104</v>
      </c>
      <c r="C54">
        <v>122</v>
      </c>
      <c r="D54">
        <v>198</v>
      </c>
      <c r="E54">
        <v>198</v>
      </c>
      <c r="F54">
        <v>118</v>
      </c>
      <c r="G54">
        <v>636</v>
      </c>
      <c r="I54">
        <v>460</v>
      </c>
      <c r="J54" t="s">
        <v>113</v>
      </c>
      <c r="L54">
        <f t="shared" si="7"/>
        <v>176</v>
      </c>
      <c r="M54">
        <v>4</v>
      </c>
      <c r="N54">
        <v>600</v>
      </c>
      <c r="O54" t="s">
        <v>123</v>
      </c>
      <c r="P54" t="s">
        <v>13</v>
      </c>
      <c r="Q54" t="s">
        <v>117</v>
      </c>
      <c r="R54" t="s">
        <v>121</v>
      </c>
      <c r="S54" s="3">
        <f>1560/25.4</f>
        <v>61.417322834645674</v>
      </c>
      <c r="T54" s="3">
        <f t="shared" si="3"/>
        <v>208.65232</v>
      </c>
      <c r="U54" s="3">
        <f t="shared" si="4"/>
        <v>79.832191999999992</v>
      </c>
      <c r="V54" s="2">
        <f t="shared" si="1"/>
        <v>0.50314465408805031</v>
      </c>
      <c r="W54" s="4">
        <f t="shared" si="5"/>
        <v>320</v>
      </c>
      <c r="X54" s="2">
        <f t="shared" si="2"/>
        <v>0.50314465408805031</v>
      </c>
      <c r="Y54" s="4">
        <f t="shared" si="6"/>
        <v>320</v>
      </c>
    </row>
    <row r="55" spans="1:25" x14ac:dyDescent="0.25">
      <c r="A55">
        <v>67</v>
      </c>
      <c r="B55" t="s">
        <v>62</v>
      </c>
      <c r="C55">
        <v>145</v>
      </c>
      <c r="D55">
        <v>188</v>
      </c>
      <c r="E55">
        <v>189</v>
      </c>
      <c r="F55">
        <v>138</v>
      </c>
      <c r="G55">
        <v>660</v>
      </c>
      <c r="I55">
        <v>449</v>
      </c>
      <c r="J55" t="s">
        <v>112</v>
      </c>
      <c r="L55">
        <f t="shared" si="7"/>
        <v>211</v>
      </c>
      <c r="M55">
        <v>4</v>
      </c>
      <c r="N55">
        <v>600</v>
      </c>
      <c r="O55" t="s">
        <v>123</v>
      </c>
      <c r="P55" t="s">
        <v>13</v>
      </c>
      <c r="Q55" t="s">
        <v>116</v>
      </c>
      <c r="R55" t="s">
        <v>121</v>
      </c>
      <c r="S55" s="3">
        <f>1550/25.4</f>
        <v>61.023622047244096</v>
      </c>
      <c r="T55" s="3">
        <f t="shared" si="3"/>
        <v>203.66280799999998</v>
      </c>
      <c r="U55" s="3">
        <f t="shared" si="4"/>
        <v>95.707911999999993</v>
      </c>
      <c r="V55" s="2">
        <f t="shared" si="1"/>
        <v>0.50454545454545452</v>
      </c>
      <c r="W55" s="4">
        <f t="shared" si="5"/>
        <v>333</v>
      </c>
      <c r="X55" s="2">
        <f t="shared" si="2"/>
        <v>0.5060606060606061</v>
      </c>
      <c r="Y55" s="4">
        <f t="shared" si="6"/>
        <v>334</v>
      </c>
    </row>
    <row r="56" spans="1:25" x14ac:dyDescent="0.25">
      <c r="A56">
        <v>68</v>
      </c>
      <c r="B56" t="s">
        <v>51</v>
      </c>
      <c r="C56">
        <v>150</v>
      </c>
      <c r="D56">
        <v>129</v>
      </c>
      <c r="E56">
        <v>136</v>
      </c>
      <c r="F56">
        <v>163</v>
      </c>
      <c r="G56">
        <v>578</v>
      </c>
      <c r="I56">
        <v>411</v>
      </c>
      <c r="J56" t="s">
        <v>113</v>
      </c>
      <c r="L56">
        <f t="shared" si="7"/>
        <v>167</v>
      </c>
      <c r="M56">
        <v>4</v>
      </c>
      <c r="N56">
        <v>599</v>
      </c>
      <c r="O56" t="s">
        <v>123</v>
      </c>
      <c r="P56" t="s">
        <v>133</v>
      </c>
      <c r="Q56" t="s">
        <v>118</v>
      </c>
      <c r="R56" t="s">
        <v>121</v>
      </c>
      <c r="S56" s="3">
        <v>61</v>
      </c>
      <c r="T56" s="3">
        <f t="shared" si="3"/>
        <v>186.426312</v>
      </c>
      <c r="U56" s="3">
        <f t="shared" si="4"/>
        <v>75.749864000000002</v>
      </c>
      <c r="V56" s="2">
        <f t="shared" si="1"/>
        <v>0.48269896193771628</v>
      </c>
      <c r="W56" s="4">
        <f t="shared" si="5"/>
        <v>279</v>
      </c>
      <c r="X56" s="2">
        <f t="shared" si="2"/>
        <v>0.49480968858131485</v>
      </c>
      <c r="Y56" s="4">
        <f t="shared" si="6"/>
        <v>286</v>
      </c>
    </row>
    <row r="57" spans="1:25" x14ac:dyDescent="0.25">
      <c r="A57">
        <v>69</v>
      </c>
      <c r="B57" t="s">
        <v>69</v>
      </c>
      <c r="C57">
        <v>140</v>
      </c>
      <c r="D57">
        <v>147</v>
      </c>
      <c r="E57">
        <v>153</v>
      </c>
      <c r="F57">
        <v>148</v>
      </c>
      <c r="G57">
        <v>588</v>
      </c>
      <c r="I57">
        <v>451</v>
      </c>
      <c r="J57" t="s">
        <v>114</v>
      </c>
      <c r="L57">
        <f t="shared" si="7"/>
        <v>137</v>
      </c>
      <c r="M57">
        <v>4</v>
      </c>
      <c r="N57">
        <v>599</v>
      </c>
      <c r="O57" t="s">
        <v>123</v>
      </c>
      <c r="P57" t="s">
        <v>13</v>
      </c>
      <c r="Q57" t="s">
        <v>126</v>
      </c>
      <c r="R57" t="s">
        <v>121</v>
      </c>
      <c r="S57" s="3">
        <v>62</v>
      </c>
      <c r="T57" s="3">
        <f t="shared" si="3"/>
        <v>204.56999199999998</v>
      </c>
      <c r="U57" s="3">
        <f t="shared" si="4"/>
        <v>62.142103999999996</v>
      </c>
      <c r="V57" s="2">
        <f t="shared" si="1"/>
        <v>0.48809523809523808</v>
      </c>
      <c r="W57" s="4">
        <f t="shared" si="5"/>
        <v>287</v>
      </c>
      <c r="X57" s="2">
        <f t="shared" si="2"/>
        <v>0.49829931972789115</v>
      </c>
      <c r="Y57" s="4">
        <f t="shared" si="6"/>
        <v>293</v>
      </c>
    </row>
    <row r="58" spans="1:25" x14ac:dyDescent="0.25">
      <c r="A58">
        <v>70</v>
      </c>
      <c r="B58" t="s">
        <v>101</v>
      </c>
      <c r="C58">
        <v>153</v>
      </c>
      <c r="D58">
        <v>177</v>
      </c>
      <c r="E58">
        <v>187</v>
      </c>
      <c r="F58">
        <v>160</v>
      </c>
      <c r="G58">
        <v>678</v>
      </c>
      <c r="I58">
        <v>536</v>
      </c>
      <c r="J58" t="s">
        <v>113</v>
      </c>
      <c r="L58">
        <f t="shared" si="7"/>
        <v>142</v>
      </c>
      <c r="M58">
        <v>4</v>
      </c>
      <c r="N58">
        <v>599</v>
      </c>
      <c r="O58" t="s">
        <v>123</v>
      </c>
      <c r="P58" t="s">
        <v>13</v>
      </c>
      <c r="Q58" t="s">
        <v>116</v>
      </c>
      <c r="R58" t="s">
        <v>121</v>
      </c>
      <c r="S58" s="3">
        <v>63</v>
      </c>
      <c r="T58" s="3">
        <f t="shared" si="3"/>
        <v>243.12531200000001</v>
      </c>
      <c r="U58" s="3">
        <f t="shared" si="4"/>
        <v>64.410064000000006</v>
      </c>
      <c r="V58" s="2">
        <f t="shared" si="1"/>
        <v>0.48672566371681414</v>
      </c>
      <c r="W58" s="4">
        <f t="shared" si="5"/>
        <v>330</v>
      </c>
      <c r="X58" s="2">
        <f t="shared" si="2"/>
        <v>0.50147492625368728</v>
      </c>
      <c r="Y58" s="4">
        <f t="shared" si="6"/>
        <v>340</v>
      </c>
    </row>
    <row r="59" spans="1:25" x14ac:dyDescent="0.25">
      <c r="A59">
        <v>71</v>
      </c>
      <c r="B59" t="s">
        <v>169</v>
      </c>
      <c r="C59">
        <v>144</v>
      </c>
      <c r="D59">
        <v>176</v>
      </c>
      <c r="E59">
        <v>175</v>
      </c>
      <c r="F59">
        <v>130</v>
      </c>
      <c r="G59">
        <v>627</v>
      </c>
      <c r="I59">
        <v>482</v>
      </c>
      <c r="J59" t="s">
        <v>114</v>
      </c>
      <c r="L59">
        <f t="shared" si="7"/>
        <v>145</v>
      </c>
      <c r="M59">
        <v>4</v>
      </c>
      <c r="N59">
        <v>599</v>
      </c>
      <c r="O59" t="s">
        <v>123</v>
      </c>
      <c r="P59" t="s">
        <v>13</v>
      </c>
      <c r="Q59" t="s">
        <v>116</v>
      </c>
      <c r="R59" t="s">
        <v>122</v>
      </c>
      <c r="S59" s="3">
        <f>1524/25.4</f>
        <v>60</v>
      </c>
      <c r="T59" s="3">
        <f t="shared" si="3"/>
        <v>218.63134399999998</v>
      </c>
      <c r="U59" s="3">
        <f t="shared" si="4"/>
        <v>65.770839999999993</v>
      </c>
      <c r="V59" s="2">
        <f t="shared" si="1"/>
        <v>0.5103668261562998</v>
      </c>
      <c r="W59" s="4">
        <f t="shared" si="5"/>
        <v>320</v>
      </c>
      <c r="X59" s="2">
        <f t="shared" si="2"/>
        <v>0.50877192982456143</v>
      </c>
      <c r="Y59" s="4">
        <f t="shared" si="6"/>
        <v>319</v>
      </c>
    </row>
    <row r="60" spans="1:25" x14ac:dyDescent="0.25">
      <c r="A60">
        <v>72</v>
      </c>
      <c r="B60" t="s">
        <v>63</v>
      </c>
      <c r="C60">
        <v>178</v>
      </c>
      <c r="D60">
        <v>159</v>
      </c>
      <c r="E60">
        <v>129</v>
      </c>
      <c r="F60">
        <v>154</v>
      </c>
      <c r="G60">
        <v>620</v>
      </c>
      <c r="I60">
        <v>475</v>
      </c>
      <c r="J60" t="s">
        <v>113</v>
      </c>
      <c r="L60">
        <f t="shared" si="7"/>
        <v>145</v>
      </c>
      <c r="M60">
        <v>1</v>
      </c>
      <c r="N60">
        <v>478</v>
      </c>
      <c r="O60" t="s">
        <v>123</v>
      </c>
      <c r="P60" t="s">
        <v>13</v>
      </c>
      <c r="Q60" t="s">
        <v>126</v>
      </c>
      <c r="R60" t="s">
        <v>121</v>
      </c>
      <c r="S60" s="3">
        <v>60.5</v>
      </c>
      <c r="T60" s="3">
        <f t="shared" si="3"/>
        <v>215.4562</v>
      </c>
      <c r="U60" s="3">
        <f t="shared" si="4"/>
        <v>65.770839999999993</v>
      </c>
      <c r="V60" s="2">
        <f t="shared" si="1"/>
        <v>0.54354838709677422</v>
      </c>
      <c r="W60" s="4">
        <f t="shared" si="5"/>
        <v>337</v>
      </c>
      <c r="X60" s="2">
        <f t="shared" si="2"/>
        <v>0.49516129032258066</v>
      </c>
      <c r="Y60" s="4">
        <f t="shared" si="6"/>
        <v>307</v>
      </c>
    </row>
    <row r="61" spans="1:25" x14ac:dyDescent="0.25">
      <c r="A61">
        <v>73</v>
      </c>
      <c r="B61" t="s">
        <v>46</v>
      </c>
      <c r="C61">
        <v>143</v>
      </c>
      <c r="D61">
        <v>135</v>
      </c>
      <c r="E61">
        <v>145</v>
      </c>
      <c r="F61">
        <v>165</v>
      </c>
      <c r="G61">
        <v>588</v>
      </c>
      <c r="I61">
        <v>430</v>
      </c>
      <c r="J61" t="s">
        <v>112</v>
      </c>
      <c r="L61">
        <f t="shared" si="7"/>
        <v>158</v>
      </c>
      <c r="M61">
        <v>4</v>
      </c>
      <c r="N61">
        <v>600</v>
      </c>
      <c r="O61" t="s">
        <v>123</v>
      </c>
      <c r="P61" t="s">
        <v>13</v>
      </c>
      <c r="Q61" t="s">
        <v>118</v>
      </c>
      <c r="R61" t="s">
        <v>121</v>
      </c>
      <c r="S61" s="3">
        <v>60.5</v>
      </c>
      <c r="T61" s="3">
        <f t="shared" si="3"/>
        <v>195.04455999999999</v>
      </c>
      <c r="U61" s="3">
        <f t="shared" si="4"/>
        <v>71.667535999999998</v>
      </c>
      <c r="V61" s="2">
        <f t="shared" si="1"/>
        <v>0.47278911564625853</v>
      </c>
      <c r="W61" s="4">
        <f t="shared" si="5"/>
        <v>278</v>
      </c>
      <c r="X61" s="2">
        <f t="shared" si="2"/>
        <v>0.48979591836734693</v>
      </c>
      <c r="Y61" s="4">
        <f t="shared" si="6"/>
        <v>288</v>
      </c>
    </row>
    <row r="62" spans="1:25" x14ac:dyDescent="0.25">
      <c r="A62">
        <v>74</v>
      </c>
      <c r="B62" t="s">
        <v>28</v>
      </c>
      <c r="C62">
        <v>150</v>
      </c>
      <c r="D62">
        <v>140</v>
      </c>
      <c r="E62">
        <v>155</v>
      </c>
      <c r="F62">
        <v>170</v>
      </c>
      <c r="G62">
        <v>614</v>
      </c>
      <c r="I62">
        <v>426</v>
      </c>
      <c r="J62" t="s">
        <v>114</v>
      </c>
      <c r="L62">
        <f t="shared" si="7"/>
        <v>188</v>
      </c>
      <c r="M62">
        <v>1</v>
      </c>
      <c r="N62">
        <v>450</v>
      </c>
      <c r="O62" t="s">
        <v>125</v>
      </c>
      <c r="P62" t="s">
        <v>14</v>
      </c>
      <c r="Q62" t="s">
        <v>118</v>
      </c>
      <c r="R62" t="s">
        <v>121</v>
      </c>
      <c r="S62" s="3">
        <v>62</v>
      </c>
      <c r="T62" s="3">
        <f t="shared" si="3"/>
        <v>193.23019199999999</v>
      </c>
      <c r="U62" s="3">
        <f t="shared" si="4"/>
        <v>85.275295999999997</v>
      </c>
      <c r="V62" s="2">
        <f t="shared" si="1"/>
        <v>0.47231270358306188</v>
      </c>
      <c r="W62" s="4">
        <f t="shared" si="5"/>
        <v>290</v>
      </c>
      <c r="X62" s="2">
        <f t="shared" si="2"/>
        <v>0.49674267100977199</v>
      </c>
      <c r="Y62" s="4">
        <f t="shared" si="6"/>
        <v>305</v>
      </c>
    </row>
    <row r="63" spans="1:25" x14ac:dyDescent="0.25">
      <c r="A63">
        <v>75</v>
      </c>
      <c r="B63" t="s">
        <v>170</v>
      </c>
      <c r="C63">
        <v>156</v>
      </c>
      <c r="D63">
        <v>172</v>
      </c>
      <c r="E63">
        <v>162</v>
      </c>
      <c r="F63">
        <v>149</v>
      </c>
      <c r="G63">
        <v>639</v>
      </c>
      <c r="I63">
        <v>491</v>
      </c>
      <c r="J63" t="s">
        <v>114</v>
      </c>
      <c r="L63">
        <f t="shared" si="7"/>
        <v>148</v>
      </c>
      <c r="M63">
        <v>4</v>
      </c>
      <c r="N63">
        <v>599</v>
      </c>
      <c r="O63" t="s">
        <v>123</v>
      </c>
      <c r="P63" t="s">
        <v>13</v>
      </c>
      <c r="Q63" t="s">
        <v>126</v>
      </c>
      <c r="R63" t="s">
        <v>122</v>
      </c>
      <c r="S63" s="3">
        <v>62</v>
      </c>
      <c r="T63" s="3">
        <f t="shared" si="3"/>
        <v>222.713672</v>
      </c>
      <c r="U63" s="3">
        <f t="shared" si="4"/>
        <v>67.131615999999994</v>
      </c>
      <c r="V63" s="2">
        <f t="shared" si="1"/>
        <v>0.51330203442879496</v>
      </c>
      <c r="W63" s="4">
        <f t="shared" si="5"/>
        <v>328</v>
      </c>
      <c r="X63" s="2">
        <f t="shared" si="2"/>
        <v>0.49765258215962443</v>
      </c>
      <c r="Y63" s="4">
        <f t="shared" si="6"/>
        <v>318</v>
      </c>
    </row>
    <row r="64" spans="1:25" x14ac:dyDescent="0.25">
      <c r="A64">
        <v>76</v>
      </c>
      <c r="B64" t="s">
        <v>171</v>
      </c>
      <c r="C64">
        <v>188</v>
      </c>
      <c r="D64">
        <v>202</v>
      </c>
      <c r="E64">
        <v>181</v>
      </c>
      <c r="F64">
        <v>167</v>
      </c>
      <c r="G64">
        <v>739</v>
      </c>
      <c r="I64">
        <v>599</v>
      </c>
      <c r="J64" t="s">
        <v>114</v>
      </c>
      <c r="L64">
        <f t="shared" si="7"/>
        <v>140</v>
      </c>
      <c r="M64">
        <v>4</v>
      </c>
      <c r="N64">
        <v>599</v>
      </c>
      <c r="O64" t="s">
        <v>123</v>
      </c>
      <c r="P64" t="s">
        <v>13</v>
      </c>
      <c r="Q64" t="s">
        <v>116</v>
      </c>
      <c r="R64" t="s">
        <v>122</v>
      </c>
      <c r="S64" s="3">
        <v>69</v>
      </c>
      <c r="T64" s="3">
        <f t="shared" si="3"/>
        <v>271.70160800000002</v>
      </c>
      <c r="U64" s="3">
        <f t="shared" si="4"/>
        <v>63.502879999999998</v>
      </c>
      <c r="V64" s="2">
        <f t="shared" si="1"/>
        <v>0.52774018944519618</v>
      </c>
      <c r="W64" s="4">
        <f t="shared" si="5"/>
        <v>390</v>
      </c>
      <c r="X64" s="2">
        <f t="shared" si="2"/>
        <v>0.49932341001353181</v>
      </c>
      <c r="Y64" s="4">
        <f t="shared" si="6"/>
        <v>369</v>
      </c>
    </row>
    <row r="65" spans="1:25" x14ac:dyDescent="0.25">
      <c r="A65">
        <v>77</v>
      </c>
      <c r="B65" t="s">
        <v>92</v>
      </c>
      <c r="C65">
        <v>171</v>
      </c>
      <c r="D65">
        <v>178</v>
      </c>
      <c r="E65">
        <v>161</v>
      </c>
      <c r="F65">
        <v>157</v>
      </c>
      <c r="G65">
        <v>667</v>
      </c>
      <c r="I65">
        <v>473</v>
      </c>
      <c r="J65" t="s">
        <v>113</v>
      </c>
      <c r="L65">
        <f t="shared" si="7"/>
        <v>194</v>
      </c>
      <c r="M65">
        <v>4</v>
      </c>
      <c r="N65">
        <v>599</v>
      </c>
      <c r="O65" t="s">
        <v>123</v>
      </c>
      <c r="P65" t="s">
        <v>13</v>
      </c>
      <c r="Q65" t="s">
        <v>118</v>
      </c>
      <c r="R65" t="s">
        <v>122</v>
      </c>
      <c r="S65" s="3">
        <f>1549/25.4</f>
        <v>60.984251968503941</v>
      </c>
      <c r="T65" s="3">
        <f t="shared" si="3"/>
        <v>214.54901599999999</v>
      </c>
      <c r="U65" s="3">
        <f t="shared" si="4"/>
        <v>87.996848</v>
      </c>
      <c r="V65" s="2">
        <f t="shared" si="1"/>
        <v>0.52323838080959517</v>
      </c>
      <c r="W65" s="4">
        <f t="shared" si="5"/>
        <v>349</v>
      </c>
      <c r="X65" s="2">
        <f t="shared" si="2"/>
        <v>0.49775112443778113</v>
      </c>
      <c r="Y65" s="4">
        <f t="shared" si="6"/>
        <v>332</v>
      </c>
    </row>
    <row r="66" spans="1:25" x14ac:dyDescent="0.25">
      <c r="A66">
        <v>78</v>
      </c>
      <c r="B66" t="s">
        <v>105</v>
      </c>
      <c r="C66">
        <v>149</v>
      </c>
      <c r="D66">
        <v>157</v>
      </c>
      <c r="E66">
        <v>153</v>
      </c>
      <c r="F66">
        <v>146</v>
      </c>
      <c r="G66">
        <v>605</v>
      </c>
      <c r="I66">
        <v>452</v>
      </c>
      <c r="J66" t="s">
        <v>113</v>
      </c>
      <c r="L66">
        <f t="shared" si="7"/>
        <v>153</v>
      </c>
      <c r="M66">
        <v>4</v>
      </c>
      <c r="N66">
        <v>600</v>
      </c>
      <c r="O66" t="s">
        <v>123</v>
      </c>
      <c r="P66" t="s">
        <v>13</v>
      </c>
      <c r="Q66" t="s">
        <v>126</v>
      </c>
      <c r="R66" t="s">
        <v>122</v>
      </c>
      <c r="S66" s="3">
        <v>64</v>
      </c>
      <c r="T66" s="3">
        <f t="shared" si="3"/>
        <v>205.023584</v>
      </c>
      <c r="U66" s="3">
        <f t="shared" si="4"/>
        <v>69.399575999999996</v>
      </c>
      <c r="V66" s="2">
        <f t="shared" ref="V66:V117" si="8">IF($G66="","",($C66+$D66)/$G66)</f>
        <v>0.5057851239669422</v>
      </c>
      <c r="W66" s="4">
        <f t="shared" si="5"/>
        <v>306</v>
      </c>
      <c r="X66" s="2">
        <f t="shared" ref="X66:X119" si="9">IF($G66="","",($C66+$E66)/$G66)</f>
        <v>0.49917355371900829</v>
      </c>
      <c r="Y66" s="4">
        <f t="shared" si="6"/>
        <v>302</v>
      </c>
    </row>
    <row r="67" spans="1:25" x14ac:dyDescent="0.25">
      <c r="A67">
        <v>79</v>
      </c>
      <c r="B67" t="s">
        <v>61</v>
      </c>
      <c r="C67">
        <v>165</v>
      </c>
      <c r="D67">
        <v>151</v>
      </c>
      <c r="E67">
        <v>153</v>
      </c>
      <c r="F67">
        <v>171</v>
      </c>
      <c r="G67">
        <v>640</v>
      </c>
      <c r="I67">
        <v>437</v>
      </c>
      <c r="J67" t="s">
        <v>112</v>
      </c>
      <c r="L67">
        <f t="shared" si="7"/>
        <v>203</v>
      </c>
      <c r="M67">
        <v>4</v>
      </c>
      <c r="N67">
        <v>600</v>
      </c>
      <c r="O67" t="s">
        <v>123</v>
      </c>
      <c r="P67" t="s">
        <v>13</v>
      </c>
      <c r="Q67" t="s">
        <v>116</v>
      </c>
      <c r="R67" t="s">
        <v>121</v>
      </c>
      <c r="S67" s="3">
        <v>60</v>
      </c>
      <c r="T67" s="3">
        <f t="shared" ref="T67:T120" si="10">$I67*0.453592</f>
        <v>198.21970400000001</v>
      </c>
      <c r="U67" s="3">
        <f t="shared" ref="U67:U120" si="11">$L67*0.453592</f>
        <v>92.079176000000004</v>
      </c>
      <c r="V67" s="2">
        <f t="shared" si="8"/>
        <v>0.49375000000000002</v>
      </c>
      <c r="W67" s="4">
        <f t="shared" ref="W67:W120" si="12">($C67+$D67)</f>
        <v>316</v>
      </c>
      <c r="X67" s="2">
        <f t="shared" si="9"/>
        <v>0.49687500000000001</v>
      </c>
      <c r="Y67" s="4">
        <f t="shared" ref="Y67:Y120" si="13">($C67+$E67)</f>
        <v>318</v>
      </c>
    </row>
    <row r="68" spans="1:25" x14ac:dyDescent="0.25">
      <c r="A68">
        <v>80</v>
      </c>
      <c r="B68" t="s">
        <v>60</v>
      </c>
      <c r="C68">
        <v>124</v>
      </c>
      <c r="D68">
        <v>156</v>
      </c>
      <c r="E68">
        <v>168</v>
      </c>
      <c r="F68">
        <v>136</v>
      </c>
      <c r="G68">
        <v>583</v>
      </c>
      <c r="I68">
        <v>377</v>
      </c>
      <c r="J68" t="s">
        <v>113</v>
      </c>
      <c r="L68">
        <f t="shared" si="7"/>
        <v>206</v>
      </c>
      <c r="M68">
        <v>1</v>
      </c>
      <c r="N68">
        <v>450</v>
      </c>
      <c r="O68" t="s">
        <v>123</v>
      </c>
      <c r="P68" t="s">
        <v>133</v>
      </c>
      <c r="Q68" t="s">
        <v>118</v>
      </c>
      <c r="R68" t="s">
        <v>121</v>
      </c>
      <c r="S68" s="3">
        <v>60.5</v>
      </c>
      <c r="T68" s="3">
        <f t="shared" si="10"/>
        <v>171.00418400000001</v>
      </c>
      <c r="U68" s="3">
        <f t="shared" si="11"/>
        <v>93.439952000000005</v>
      </c>
      <c r="V68" s="2">
        <f t="shared" si="8"/>
        <v>0.48027444253859347</v>
      </c>
      <c r="W68" s="4">
        <f t="shared" si="12"/>
        <v>280</v>
      </c>
      <c r="X68" s="2">
        <f t="shared" si="9"/>
        <v>0.50085763293310459</v>
      </c>
      <c r="Y68" s="4">
        <f t="shared" si="13"/>
        <v>292</v>
      </c>
    </row>
    <row r="69" spans="1:25" x14ac:dyDescent="0.25">
      <c r="A69">
        <v>81</v>
      </c>
      <c r="B69" t="s">
        <v>95</v>
      </c>
      <c r="C69">
        <v>153</v>
      </c>
      <c r="D69">
        <v>155</v>
      </c>
      <c r="E69">
        <v>157</v>
      </c>
      <c r="F69">
        <v>159</v>
      </c>
      <c r="G69">
        <v>623</v>
      </c>
      <c r="I69">
        <v>458</v>
      </c>
      <c r="J69" t="s">
        <v>113</v>
      </c>
      <c r="L69">
        <f t="shared" ref="L69:L120" si="14">IF($G69="","",$G69-$I69)</f>
        <v>165</v>
      </c>
      <c r="M69">
        <v>4</v>
      </c>
      <c r="N69">
        <v>600</v>
      </c>
      <c r="O69" t="s">
        <v>123</v>
      </c>
      <c r="P69" t="s">
        <v>13</v>
      </c>
      <c r="Q69" t="s">
        <v>117</v>
      </c>
      <c r="R69" t="s">
        <v>121</v>
      </c>
      <c r="S69" s="3">
        <v>60</v>
      </c>
      <c r="T69" s="3">
        <f t="shared" si="10"/>
        <v>207.745136</v>
      </c>
      <c r="U69" s="3">
        <f t="shared" si="11"/>
        <v>74.842680000000001</v>
      </c>
      <c r="V69" s="2">
        <f t="shared" si="8"/>
        <v>0.4943820224719101</v>
      </c>
      <c r="W69" s="4">
        <f t="shared" si="12"/>
        <v>308</v>
      </c>
      <c r="X69" s="2">
        <f t="shared" si="9"/>
        <v>0.49759229534510435</v>
      </c>
      <c r="Y69" s="4">
        <f t="shared" si="13"/>
        <v>310</v>
      </c>
    </row>
    <row r="70" spans="1:25" x14ac:dyDescent="0.25">
      <c r="A70">
        <v>82</v>
      </c>
      <c r="B70" t="s">
        <v>84</v>
      </c>
      <c r="C70">
        <v>138</v>
      </c>
      <c r="D70">
        <v>148</v>
      </c>
      <c r="E70">
        <v>163</v>
      </c>
      <c r="F70">
        <v>150</v>
      </c>
      <c r="G70">
        <v>599</v>
      </c>
      <c r="I70">
        <v>449</v>
      </c>
      <c r="J70" t="s">
        <v>114</v>
      </c>
      <c r="L70">
        <f t="shared" si="14"/>
        <v>150</v>
      </c>
      <c r="M70">
        <v>4</v>
      </c>
      <c r="N70">
        <v>599</v>
      </c>
      <c r="O70" t="s">
        <v>123</v>
      </c>
      <c r="P70" t="s">
        <v>13</v>
      </c>
      <c r="Q70" t="s">
        <v>116</v>
      </c>
      <c r="R70" t="s">
        <v>122</v>
      </c>
      <c r="S70" s="3">
        <v>62</v>
      </c>
      <c r="T70" s="3">
        <f t="shared" si="10"/>
        <v>203.66280799999998</v>
      </c>
      <c r="U70" s="3">
        <f t="shared" si="11"/>
        <v>68.038799999999995</v>
      </c>
      <c r="V70" s="2">
        <f t="shared" si="8"/>
        <v>0.47746243739565941</v>
      </c>
      <c r="W70" s="4">
        <f t="shared" si="12"/>
        <v>286</v>
      </c>
      <c r="X70" s="2">
        <f t="shared" si="9"/>
        <v>0.5025041736227045</v>
      </c>
      <c r="Y70" s="4">
        <f t="shared" si="13"/>
        <v>301</v>
      </c>
    </row>
    <row r="71" spans="1:25" x14ac:dyDescent="0.25">
      <c r="A71">
        <v>83</v>
      </c>
      <c r="B71" t="s">
        <v>172</v>
      </c>
      <c r="C71">
        <v>153</v>
      </c>
      <c r="D71">
        <v>204</v>
      </c>
      <c r="E71">
        <v>210</v>
      </c>
      <c r="F71">
        <v>154</v>
      </c>
      <c r="G71">
        <v>722</v>
      </c>
      <c r="I71">
        <v>565</v>
      </c>
      <c r="J71" t="s">
        <v>114</v>
      </c>
      <c r="L71">
        <f t="shared" si="14"/>
        <v>157</v>
      </c>
      <c r="M71">
        <v>4</v>
      </c>
      <c r="N71">
        <v>599</v>
      </c>
      <c r="O71" t="s">
        <v>123</v>
      </c>
      <c r="P71" t="s">
        <v>13</v>
      </c>
      <c r="Q71" t="s">
        <v>126</v>
      </c>
      <c r="R71" t="s">
        <v>122</v>
      </c>
      <c r="S71" s="3">
        <v>70</v>
      </c>
      <c r="T71" s="3">
        <f t="shared" si="10"/>
        <v>256.27947999999998</v>
      </c>
      <c r="U71" s="3">
        <f t="shared" si="11"/>
        <v>71.213943999999998</v>
      </c>
      <c r="V71" s="2">
        <f t="shared" si="8"/>
        <v>0.49445983379501385</v>
      </c>
      <c r="W71" s="4">
        <f t="shared" si="12"/>
        <v>357</v>
      </c>
      <c r="X71" s="2">
        <f t="shared" si="9"/>
        <v>0.50277008310249305</v>
      </c>
      <c r="Y71" s="4">
        <f t="shared" si="13"/>
        <v>363</v>
      </c>
    </row>
    <row r="72" spans="1:25" x14ac:dyDescent="0.25">
      <c r="A72">
        <v>84</v>
      </c>
      <c r="B72" t="s">
        <v>39</v>
      </c>
      <c r="C72">
        <v>127</v>
      </c>
      <c r="D72">
        <v>140</v>
      </c>
      <c r="E72">
        <v>133</v>
      </c>
      <c r="F72">
        <v>123</v>
      </c>
      <c r="G72">
        <v>524</v>
      </c>
      <c r="I72">
        <v>364</v>
      </c>
      <c r="J72" t="s">
        <v>114</v>
      </c>
      <c r="L72">
        <f t="shared" si="14"/>
        <v>160</v>
      </c>
      <c r="M72">
        <v>1</v>
      </c>
      <c r="N72">
        <v>450</v>
      </c>
      <c r="O72" t="s">
        <v>123</v>
      </c>
      <c r="P72" t="s">
        <v>133</v>
      </c>
      <c r="Q72" t="s">
        <v>117</v>
      </c>
      <c r="R72" t="s">
        <v>121</v>
      </c>
      <c r="S72" s="3">
        <v>60.5</v>
      </c>
      <c r="T72" s="3">
        <f t="shared" si="10"/>
        <v>165.10748799999999</v>
      </c>
      <c r="U72" s="3">
        <f t="shared" si="11"/>
        <v>72.574719999999999</v>
      </c>
      <c r="V72" s="2">
        <f t="shared" si="8"/>
        <v>0.50954198473282442</v>
      </c>
      <c r="W72" s="4">
        <f t="shared" si="12"/>
        <v>267</v>
      </c>
      <c r="X72" s="2">
        <f t="shared" si="9"/>
        <v>0.49618320610687022</v>
      </c>
      <c r="Y72" s="4">
        <f t="shared" si="13"/>
        <v>260</v>
      </c>
    </row>
    <row r="73" spans="1:25" x14ac:dyDescent="0.25">
      <c r="A73">
        <v>85</v>
      </c>
      <c r="B73" t="s">
        <v>173</v>
      </c>
      <c r="C73">
        <v>119</v>
      </c>
      <c r="D73">
        <v>128</v>
      </c>
      <c r="E73">
        <v>151</v>
      </c>
      <c r="F73">
        <v>135</v>
      </c>
      <c r="G73">
        <v>531</v>
      </c>
      <c r="I73">
        <v>415</v>
      </c>
      <c r="J73" t="s">
        <v>114</v>
      </c>
      <c r="L73">
        <f t="shared" si="14"/>
        <v>116</v>
      </c>
      <c r="M73">
        <v>4</v>
      </c>
      <c r="N73">
        <v>600</v>
      </c>
      <c r="O73" t="s">
        <v>123</v>
      </c>
      <c r="P73" t="s">
        <v>133</v>
      </c>
      <c r="Q73" t="s">
        <v>118</v>
      </c>
      <c r="R73" t="s">
        <v>121</v>
      </c>
      <c r="S73" s="3">
        <f>1525/25.4</f>
        <v>60.039370078740163</v>
      </c>
      <c r="T73" s="3">
        <f t="shared" si="10"/>
        <v>188.24068</v>
      </c>
      <c r="U73" s="3">
        <f t="shared" si="11"/>
        <v>52.616672000000001</v>
      </c>
      <c r="V73" s="2">
        <f t="shared" si="8"/>
        <v>0.46516007532956688</v>
      </c>
      <c r="W73" s="4">
        <f t="shared" si="12"/>
        <v>247</v>
      </c>
      <c r="X73" s="2">
        <f t="shared" si="9"/>
        <v>0.50847457627118642</v>
      </c>
      <c r="Y73" s="4">
        <f t="shared" si="13"/>
        <v>270</v>
      </c>
    </row>
    <row r="74" spans="1:25" x14ac:dyDescent="0.25">
      <c r="A74">
        <v>86</v>
      </c>
      <c r="B74" t="s">
        <v>72</v>
      </c>
      <c r="C74">
        <v>125</v>
      </c>
      <c r="D74">
        <v>153</v>
      </c>
      <c r="E74">
        <v>168</v>
      </c>
      <c r="F74">
        <v>142</v>
      </c>
      <c r="G74">
        <v>587</v>
      </c>
      <c r="I74">
        <v>435</v>
      </c>
      <c r="J74" t="s">
        <v>112</v>
      </c>
      <c r="L74">
        <f t="shared" si="14"/>
        <v>152</v>
      </c>
      <c r="M74">
        <v>4</v>
      </c>
      <c r="N74">
        <v>600</v>
      </c>
      <c r="O74" t="s">
        <v>123</v>
      </c>
      <c r="P74" t="s">
        <v>13</v>
      </c>
      <c r="Q74" t="s">
        <v>116</v>
      </c>
      <c r="R74" t="s">
        <v>121</v>
      </c>
      <c r="S74" s="3">
        <v>61.25</v>
      </c>
      <c r="T74" s="3">
        <f t="shared" si="10"/>
        <v>197.31252000000001</v>
      </c>
      <c r="U74" s="3">
        <f t="shared" si="11"/>
        <v>68.945983999999996</v>
      </c>
      <c r="V74" s="2">
        <f t="shared" si="8"/>
        <v>0.47359454855195909</v>
      </c>
      <c r="W74" s="4">
        <f t="shared" si="12"/>
        <v>278</v>
      </c>
      <c r="X74" s="2">
        <f t="shared" si="9"/>
        <v>0.49914821124361158</v>
      </c>
      <c r="Y74" s="4">
        <f t="shared" si="13"/>
        <v>293</v>
      </c>
    </row>
    <row r="75" spans="1:25" x14ac:dyDescent="0.25">
      <c r="A75">
        <v>88</v>
      </c>
      <c r="B75" t="s">
        <v>103</v>
      </c>
      <c r="C75">
        <v>125</v>
      </c>
      <c r="D75">
        <v>169</v>
      </c>
      <c r="E75">
        <v>184</v>
      </c>
      <c r="F75">
        <v>140</v>
      </c>
      <c r="G75">
        <v>618</v>
      </c>
      <c r="I75">
        <v>441</v>
      </c>
      <c r="J75" t="s">
        <v>112</v>
      </c>
      <c r="L75">
        <f t="shared" si="14"/>
        <v>177</v>
      </c>
      <c r="M75">
        <v>4</v>
      </c>
      <c r="N75">
        <v>599</v>
      </c>
      <c r="O75" t="s">
        <v>123</v>
      </c>
      <c r="P75" t="s">
        <v>14</v>
      </c>
      <c r="Q75" t="s">
        <v>118</v>
      </c>
      <c r="R75" t="s">
        <v>121</v>
      </c>
      <c r="S75" s="3">
        <v>63.5</v>
      </c>
      <c r="T75" s="3">
        <f t="shared" si="10"/>
        <v>200.03407200000001</v>
      </c>
      <c r="U75" s="3">
        <f t="shared" si="11"/>
        <v>80.285783999999992</v>
      </c>
      <c r="V75" s="2">
        <f t="shared" si="8"/>
        <v>0.47572815533980584</v>
      </c>
      <c r="W75" s="4">
        <f t="shared" si="12"/>
        <v>294</v>
      </c>
      <c r="X75" s="2">
        <f t="shared" si="9"/>
        <v>0.5</v>
      </c>
      <c r="Y75" s="4">
        <f t="shared" si="13"/>
        <v>309</v>
      </c>
    </row>
    <row r="76" spans="1:25" x14ac:dyDescent="0.25">
      <c r="A76">
        <v>89</v>
      </c>
      <c r="B76" t="s">
        <v>37</v>
      </c>
      <c r="C76">
        <v>116</v>
      </c>
      <c r="D76">
        <v>141</v>
      </c>
      <c r="E76">
        <v>142</v>
      </c>
      <c r="F76">
        <v>115</v>
      </c>
      <c r="G76">
        <v>514</v>
      </c>
      <c r="I76">
        <v>345</v>
      </c>
      <c r="J76" t="s">
        <v>114</v>
      </c>
      <c r="L76">
        <f t="shared" si="14"/>
        <v>169</v>
      </c>
      <c r="M76">
        <v>2</v>
      </c>
      <c r="N76">
        <v>600</v>
      </c>
      <c r="O76" t="s">
        <v>123</v>
      </c>
      <c r="P76" t="s">
        <v>13</v>
      </c>
      <c r="Q76" t="s">
        <v>116</v>
      </c>
      <c r="R76" t="s">
        <v>121</v>
      </c>
      <c r="S76" s="3">
        <v>68</v>
      </c>
      <c r="T76" s="3">
        <f t="shared" si="10"/>
        <v>156.48924</v>
      </c>
      <c r="U76" s="3">
        <f t="shared" si="11"/>
        <v>76.657048000000003</v>
      </c>
      <c r="V76" s="2">
        <f t="shared" si="8"/>
        <v>0.5</v>
      </c>
      <c r="W76" s="4">
        <f t="shared" si="12"/>
        <v>257</v>
      </c>
      <c r="X76" s="2">
        <f t="shared" si="9"/>
        <v>0.50194552529182879</v>
      </c>
      <c r="Y76" s="4">
        <f t="shared" si="13"/>
        <v>258</v>
      </c>
    </row>
    <row r="77" spans="1:25" x14ac:dyDescent="0.25">
      <c r="A77">
        <v>90</v>
      </c>
      <c r="B77" t="s">
        <v>174</v>
      </c>
      <c r="C77">
        <v>127</v>
      </c>
      <c r="D77">
        <v>162</v>
      </c>
      <c r="E77">
        <v>172</v>
      </c>
      <c r="F77">
        <v>141</v>
      </c>
      <c r="G77">
        <v>602</v>
      </c>
      <c r="I77">
        <v>401</v>
      </c>
      <c r="J77" t="s">
        <v>113</v>
      </c>
      <c r="L77">
        <f t="shared" si="14"/>
        <v>201</v>
      </c>
      <c r="M77">
        <v>4</v>
      </c>
      <c r="N77">
        <v>599</v>
      </c>
      <c r="O77" t="s">
        <v>123</v>
      </c>
      <c r="P77" t="s">
        <v>133</v>
      </c>
      <c r="Q77" t="s">
        <v>117</v>
      </c>
      <c r="R77" t="s">
        <v>121</v>
      </c>
      <c r="S77" s="3">
        <f>1555/25.4</f>
        <v>61.220472440944889</v>
      </c>
      <c r="T77" s="3">
        <f t="shared" si="10"/>
        <v>181.89039199999999</v>
      </c>
      <c r="U77" s="3">
        <f t="shared" si="11"/>
        <v>91.171992000000003</v>
      </c>
      <c r="V77" s="2">
        <f t="shared" si="8"/>
        <v>0.48006644518272423</v>
      </c>
      <c r="W77" s="4">
        <f t="shared" si="12"/>
        <v>289</v>
      </c>
      <c r="X77" s="2">
        <f t="shared" si="9"/>
        <v>0.49667774086378735</v>
      </c>
      <c r="Y77" s="4">
        <f t="shared" si="13"/>
        <v>299</v>
      </c>
    </row>
    <row r="78" spans="1:25" x14ac:dyDescent="0.25">
      <c r="A78">
        <v>91</v>
      </c>
      <c r="B78" t="s">
        <v>57</v>
      </c>
      <c r="C78">
        <v>129</v>
      </c>
      <c r="D78">
        <v>175</v>
      </c>
      <c r="E78">
        <v>181</v>
      </c>
      <c r="F78">
        <v>140</v>
      </c>
      <c r="G78">
        <v>624</v>
      </c>
      <c r="I78">
        <v>479</v>
      </c>
      <c r="J78" t="s">
        <v>114</v>
      </c>
      <c r="L78">
        <f t="shared" si="14"/>
        <v>145</v>
      </c>
      <c r="M78">
        <v>4</v>
      </c>
      <c r="N78">
        <v>600</v>
      </c>
      <c r="O78" t="s">
        <v>123</v>
      </c>
      <c r="P78" t="s">
        <v>13</v>
      </c>
      <c r="Q78" t="s">
        <v>118</v>
      </c>
      <c r="R78" t="s">
        <v>121</v>
      </c>
      <c r="S78" s="3">
        <v>60.5</v>
      </c>
      <c r="T78" s="3">
        <f t="shared" si="10"/>
        <v>217.270568</v>
      </c>
      <c r="U78" s="3">
        <f t="shared" si="11"/>
        <v>65.770839999999993</v>
      </c>
      <c r="V78" s="2">
        <f t="shared" si="8"/>
        <v>0.48717948717948717</v>
      </c>
      <c r="W78" s="4">
        <f t="shared" si="12"/>
        <v>304</v>
      </c>
      <c r="X78" s="2">
        <f t="shared" si="9"/>
        <v>0.49679487179487181</v>
      </c>
      <c r="Y78" s="4">
        <f t="shared" si="13"/>
        <v>310</v>
      </c>
    </row>
    <row r="79" spans="1:25" x14ac:dyDescent="0.25">
      <c r="A79" s="10">
        <v>92</v>
      </c>
      <c r="B79" s="10" t="s">
        <v>100</v>
      </c>
      <c r="C79">
        <v>148</v>
      </c>
      <c r="D79">
        <v>161</v>
      </c>
      <c r="E79">
        <v>171</v>
      </c>
      <c r="F79">
        <v>163</v>
      </c>
      <c r="G79">
        <v>643</v>
      </c>
      <c r="I79">
        <v>466</v>
      </c>
      <c r="J79" t="s">
        <v>114</v>
      </c>
      <c r="L79">
        <f t="shared" si="14"/>
        <v>177</v>
      </c>
      <c r="M79">
        <v>4</v>
      </c>
      <c r="N79">
        <v>600</v>
      </c>
      <c r="O79" t="s">
        <v>123</v>
      </c>
      <c r="P79" t="s">
        <v>13</v>
      </c>
      <c r="Q79" t="s">
        <v>117</v>
      </c>
      <c r="R79" t="s">
        <v>121</v>
      </c>
      <c r="S79" s="3">
        <v>61</v>
      </c>
      <c r="T79" s="3">
        <f t="shared" si="10"/>
        <v>211.37387200000001</v>
      </c>
      <c r="U79" s="3">
        <f t="shared" si="11"/>
        <v>80.285783999999992</v>
      </c>
      <c r="V79" s="2">
        <f t="shared" si="8"/>
        <v>0.48055987558320373</v>
      </c>
      <c r="W79" s="4">
        <f t="shared" si="12"/>
        <v>309</v>
      </c>
      <c r="X79" s="2">
        <f t="shared" si="9"/>
        <v>0.49611197511664074</v>
      </c>
      <c r="Y79" s="4">
        <f t="shared" si="13"/>
        <v>319</v>
      </c>
    </row>
    <row r="80" spans="1:25" x14ac:dyDescent="0.25">
      <c r="A80">
        <v>93</v>
      </c>
      <c r="B80" t="s">
        <v>175</v>
      </c>
      <c r="C80">
        <v>134</v>
      </c>
      <c r="D80">
        <v>160</v>
      </c>
      <c r="E80">
        <v>170</v>
      </c>
      <c r="F80">
        <v>147</v>
      </c>
      <c r="G80">
        <v>611</v>
      </c>
      <c r="I80">
        <v>465</v>
      </c>
      <c r="J80" t="s">
        <v>114</v>
      </c>
      <c r="L80">
        <f t="shared" si="14"/>
        <v>146</v>
      </c>
      <c r="M80">
        <v>4</v>
      </c>
      <c r="N80">
        <v>599</v>
      </c>
      <c r="O80" t="s">
        <v>123</v>
      </c>
      <c r="P80" t="s">
        <v>13</v>
      </c>
      <c r="Q80" t="s">
        <v>117</v>
      </c>
      <c r="R80" t="s">
        <v>122</v>
      </c>
      <c r="S80" s="3">
        <v>62</v>
      </c>
      <c r="T80" s="3">
        <f t="shared" si="10"/>
        <v>210.92027999999999</v>
      </c>
      <c r="U80" s="3">
        <f t="shared" si="11"/>
        <v>66.224431999999993</v>
      </c>
      <c r="V80" s="2">
        <f t="shared" si="8"/>
        <v>0.48117839607201307</v>
      </c>
      <c r="W80" s="4">
        <f t="shared" si="12"/>
        <v>294</v>
      </c>
      <c r="X80" s="2">
        <f t="shared" si="9"/>
        <v>0.49754500818330605</v>
      </c>
      <c r="Y80" s="4">
        <f t="shared" si="13"/>
        <v>304</v>
      </c>
    </row>
    <row r="81" spans="1:25" x14ac:dyDescent="0.25">
      <c r="A81">
        <v>94</v>
      </c>
      <c r="B81" t="s">
        <v>91</v>
      </c>
      <c r="C81">
        <v>141</v>
      </c>
      <c r="D81">
        <v>161</v>
      </c>
      <c r="E81">
        <v>173</v>
      </c>
      <c r="F81">
        <v>144</v>
      </c>
      <c r="G81">
        <v>619</v>
      </c>
      <c r="I81">
        <v>451</v>
      </c>
      <c r="J81" t="s">
        <v>113</v>
      </c>
      <c r="L81">
        <f t="shared" si="14"/>
        <v>168</v>
      </c>
      <c r="M81">
        <v>4</v>
      </c>
      <c r="N81">
        <v>599</v>
      </c>
      <c r="O81" t="s">
        <v>123</v>
      </c>
      <c r="P81" t="s">
        <v>13</v>
      </c>
      <c r="Q81" t="s">
        <v>116</v>
      </c>
      <c r="R81" t="s">
        <v>121</v>
      </c>
      <c r="S81" s="3">
        <v>60</v>
      </c>
      <c r="T81" s="3">
        <f t="shared" si="10"/>
        <v>204.56999199999998</v>
      </c>
      <c r="U81" s="3">
        <f t="shared" si="11"/>
        <v>76.203456000000003</v>
      </c>
      <c r="V81" s="2">
        <f t="shared" si="8"/>
        <v>0.4878836833602585</v>
      </c>
      <c r="W81" s="4">
        <f t="shared" si="12"/>
        <v>302</v>
      </c>
      <c r="X81" s="2">
        <f t="shared" si="9"/>
        <v>0.50726978998384487</v>
      </c>
      <c r="Y81" s="4">
        <f t="shared" si="13"/>
        <v>314</v>
      </c>
    </row>
    <row r="82" spans="1:25" s="17" customFormat="1" x14ac:dyDescent="0.25">
      <c r="A82" s="17">
        <v>95</v>
      </c>
      <c r="B82" s="17" t="s">
        <v>176</v>
      </c>
      <c r="H82" s="21"/>
      <c r="K82" s="21"/>
      <c r="L82" s="17" t="str">
        <f t="shared" si="14"/>
        <v/>
      </c>
      <c r="S82" s="18"/>
      <c r="T82" s="18">
        <f t="shared" si="10"/>
        <v>0</v>
      </c>
      <c r="U82" s="18" t="e">
        <f t="shared" si="11"/>
        <v>#VALUE!</v>
      </c>
      <c r="V82" s="19" t="str">
        <f t="shared" si="8"/>
        <v/>
      </c>
      <c r="W82" s="20">
        <f t="shared" si="12"/>
        <v>0</v>
      </c>
      <c r="X82" s="19" t="str">
        <f t="shared" si="9"/>
        <v/>
      </c>
      <c r="Y82" s="20">
        <f t="shared" si="13"/>
        <v>0</v>
      </c>
    </row>
    <row r="83" spans="1:25" s="10" customFormat="1" x14ac:dyDescent="0.25">
      <c r="A83">
        <v>97</v>
      </c>
      <c r="B83" t="s">
        <v>82</v>
      </c>
      <c r="C83" s="10">
        <v>195</v>
      </c>
      <c r="D83" s="10">
        <v>218</v>
      </c>
      <c r="E83" s="10">
        <v>203</v>
      </c>
      <c r="F83" s="10">
        <v>179</v>
      </c>
      <c r="G83" s="10">
        <v>796</v>
      </c>
      <c r="H83" s="22"/>
      <c r="I83" s="10">
        <v>555</v>
      </c>
      <c r="J83" s="10" t="s">
        <v>114</v>
      </c>
      <c r="K83" s="22"/>
      <c r="L83" s="10">
        <f t="shared" si="14"/>
        <v>241</v>
      </c>
      <c r="M83" s="10">
        <v>4</v>
      </c>
      <c r="N83" s="10">
        <v>650</v>
      </c>
      <c r="O83" s="10" t="s">
        <v>123</v>
      </c>
      <c r="P83" s="10" t="s">
        <v>13</v>
      </c>
      <c r="Q83" s="10" t="s">
        <v>116</v>
      </c>
      <c r="R83" s="10" t="s">
        <v>122</v>
      </c>
      <c r="S83" s="11">
        <v>62.5</v>
      </c>
      <c r="T83" s="11">
        <f t="shared" si="10"/>
        <v>251.74356</v>
      </c>
      <c r="U83" s="11">
        <f t="shared" si="11"/>
        <v>109.31567199999999</v>
      </c>
      <c r="V83" s="12">
        <f t="shared" si="8"/>
        <v>0.51884422110552764</v>
      </c>
      <c r="W83" s="13">
        <f t="shared" si="12"/>
        <v>413</v>
      </c>
      <c r="X83" s="12">
        <f t="shared" si="9"/>
        <v>0.5</v>
      </c>
      <c r="Y83" s="13">
        <f t="shared" si="13"/>
        <v>398</v>
      </c>
    </row>
    <row r="84" spans="1:25" x14ac:dyDescent="0.25">
      <c r="A84">
        <v>98</v>
      </c>
      <c r="B84" t="s">
        <v>177</v>
      </c>
      <c r="C84">
        <v>224</v>
      </c>
      <c r="D84">
        <v>198</v>
      </c>
      <c r="E84">
        <v>173</v>
      </c>
      <c r="F84">
        <v>193</v>
      </c>
      <c r="G84">
        <v>788</v>
      </c>
      <c r="I84">
        <v>561</v>
      </c>
      <c r="J84" t="s">
        <v>114</v>
      </c>
      <c r="L84">
        <f t="shared" si="14"/>
        <v>227</v>
      </c>
      <c r="M84">
        <v>4</v>
      </c>
      <c r="N84">
        <v>599</v>
      </c>
      <c r="O84" t="s">
        <v>123</v>
      </c>
      <c r="P84" t="s">
        <v>13</v>
      </c>
      <c r="Q84" t="s">
        <v>117</v>
      </c>
      <c r="R84" t="s">
        <v>122</v>
      </c>
      <c r="S84" s="3">
        <f>1550/25.4</f>
        <v>61.023622047244096</v>
      </c>
      <c r="T84" s="3">
        <f t="shared" si="10"/>
        <v>254.465112</v>
      </c>
      <c r="U84" s="3">
        <f t="shared" si="11"/>
        <v>102.965384</v>
      </c>
      <c r="V84" s="2">
        <f t="shared" si="8"/>
        <v>0.53553299492385786</v>
      </c>
      <c r="W84" s="4">
        <f t="shared" si="12"/>
        <v>422</v>
      </c>
      <c r="X84" s="2">
        <f t="shared" si="9"/>
        <v>0.50380710659898476</v>
      </c>
      <c r="Y84" s="4">
        <f t="shared" si="13"/>
        <v>397</v>
      </c>
    </row>
    <row r="85" spans="1:25" x14ac:dyDescent="0.25">
      <c r="A85">
        <v>99</v>
      </c>
      <c r="B85" t="s">
        <v>41</v>
      </c>
      <c r="C85">
        <v>159</v>
      </c>
      <c r="D85">
        <v>172</v>
      </c>
      <c r="E85">
        <v>140</v>
      </c>
      <c r="F85">
        <v>132</v>
      </c>
      <c r="G85">
        <v>603</v>
      </c>
      <c r="I85">
        <v>403</v>
      </c>
      <c r="J85" t="s">
        <v>114</v>
      </c>
      <c r="L85">
        <f t="shared" si="14"/>
        <v>200</v>
      </c>
      <c r="M85">
        <v>2</v>
      </c>
      <c r="N85">
        <v>450</v>
      </c>
      <c r="O85" t="s">
        <v>123</v>
      </c>
      <c r="P85" t="s">
        <v>13</v>
      </c>
      <c r="Q85" t="s">
        <v>116</v>
      </c>
      <c r="R85" t="s">
        <v>121</v>
      </c>
      <c r="S85" s="3">
        <v>63</v>
      </c>
      <c r="T85" s="3">
        <f t="shared" si="10"/>
        <v>182.79757599999999</v>
      </c>
      <c r="U85" s="3">
        <f t="shared" si="11"/>
        <v>90.718400000000003</v>
      </c>
      <c r="V85" s="2">
        <f t="shared" si="8"/>
        <v>0.54892205638474301</v>
      </c>
      <c r="W85" s="4">
        <f t="shared" si="12"/>
        <v>331</v>
      </c>
      <c r="X85" s="2">
        <f t="shared" si="9"/>
        <v>0.49585406301824214</v>
      </c>
      <c r="Y85" s="4">
        <f t="shared" si="13"/>
        <v>299</v>
      </c>
    </row>
    <row r="86" spans="1:25" x14ac:dyDescent="0.25">
      <c r="A86">
        <v>100</v>
      </c>
      <c r="B86" t="s">
        <v>59</v>
      </c>
      <c r="C86">
        <v>161</v>
      </c>
      <c r="D86">
        <v>173</v>
      </c>
      <c r="E86">
        <v>158</v>
      </c>
      <c r="F86">
        <v>149</v>
      </c>
      <c r="G86">
        <v>641</v>
      </c>
      <c r="I86">
        <v>483</v>
      </c>
      <c r="J86" t="s">
        <v>112</v>
      </c>
      <c r="L86">
        <f t="shared" si="14"/>
        <v>158</v>
      </c>
      <c r="M86">
        <v>4</v>
      </c>
      <c r="N86">
        <v>636</v>
      </c>
      <c r="O86" t="s">
        <v>123</v>
      </c>
      <c r="P86" t="s">
        <v>13</v>
      </c>
      <c r="Q86" t="s">
        <v>116</v>
      </c>
      <c r="R86" t="s">
        <v>121</v>
      </c>
      <c r="S86" s="3">
        <f>1652/25.4</f>
        <v>65.039370078740163</v>
      </c>
      <c r="T86" s="3">
        <f t="shared" si="10"/>
        <v>219.084936</v>
      </c>
      <c r="U86" s="3">
        <f t="shared" si="11"/>
        <v>71.667535999999998</v>
      </c>
      <c r="V86" s="2">
        <f t="shared" si="8"/>
        <v>0.52106084243369732</v>
      </c>
      <c r="W86" s="4">
        <f t="shared" si="12"/>
        <v>334</v>
      </c>
      <c r="X86" s="2">
        <f t="shared" si="9"/>
        <v>0.49765990639625585</v>
      </c>
      <c r="Y86" s="4">
        <f t="shared" si="13"/>
        <v>319</v>
      </c>
    </row>
    <row r="87" spans="1:25" x14ac:dyDescent="0.25">
      <c r="A87">
        <v>101</v>
      </c>
      <c r="B87" t="s">
        <v>93</v>
      </c>
      <c r="C87">
        <v>166</v>
      </c>
      <c r="D87">
        <v>130</v>
      </c>
      <c r="E87">
        <v>138</v>
      </c>
      <c r="F87">
        <v>165</v>
      </c>
      <c r="G87">
        <v>600</v>
      </c>
      <c r="I87">
        <v>463</v>
      </c>
      <c r="J87" t="s">
        <v>113</v>
      </c>
      <c r="L87">
        <f t="shared" si="14"/>
        <v>137</v>
      </c>
      <c r="M87">
        <v>2</v>
      </c>
      <c r="N87">
        <v>500</v>
      </c>
      <c r="O87" t="s">
        <v>124</v>
      </c>
      <c r="P87" t="s">
        <v>13</v>
      </c>
      <c r="Q87" t="s">
        <v>126</v>
      </c>
      <c r="R87" t="s">
        <v>121</v>
      </c>
      <c r="S87" s="3">
        <v>61</v>
      </c>
      <c r="T87" s="3">
        <f t="shared" si="10"/>
        <v>210.01309599999999</v>
      </c>
      <c r="U87" s="3">
        <f t="shared" si="11"/>
        <v>62.142103999999996</v>
      </c>
      <c r="V87" s="2">
        <f t="shared" si="8"/>
        <v>0.49333333333333335</v>
      </c>
      <c r="W87" s="4">
        <f t="shared" si="12"/>
        <v>296</v>
      </c>
      <c r="X87" s="2">
        <f t="shared" si="9"/>
        <v>0.50666666666666671</v>
      </c>
      <c r="Y87" s="4">
        <f t="shared" si="13"/>
        <v>304</v>
      </c>
    </row>
    <row r="88" spans="1:25" x14ac:dyDescent="0.25">
      <c r="A88">
        <v>102</v>
      </c>
      <c r="B88" t="s">
        <v>56</v>
      </c>
      <c r="C88">
        <v>199</v>
      </c>
      <c r="D88">
        <v>172</v>
      </c>
      <c r="E88">
        <v>169</v>
      </c>
      <c r="F88">
        <v>188</v>
      </c>
      <c r="G88">
        <v>729</v>
      </c>
      <c r="I88">
        <v>549</v>
      </c>
      <c r="J88" t="s">
        <v>114</v>
      </c>
      <c r="L88">
        <f t="shared" si="14"/>
        <v>180</v>
      </c>
      <c r="M88">
        <v>4</v>
      </c>
      <c r="N88">
        <v>599.5</v>
      </c>
      <c r="O88" t="s">
        <v>123</v>
      </c>
      <c r="P88" t="s">
        <v>13</v>
      </c>
      <c r="Q88" t="s">
        <v>118</v>
      </c>
      <c r="R88" t="s">
        <v>121</v>
      </c>
      <c r="S88" s="3">
        <v>60.75</v>
      </c>
      <c r="T88" s="3">
        <f t="shared" si="10"/>
        <v>249.022008</v>
      </c>
      <c r="U88" s="3">
        <f t="shared" si="11"/>
        <v>81.646559999999994</v>
      </c>
      <c r="V88" s="2">
        <f t="shared" si="8"/>
        <v>0.5089163237311386</v>
      </c>
      <c r="W88" s="4">
        <f t="shared" si="12"/>
        <v>371</v>
      </c>
      <c r="X88" s="2">
        <f t="shared" si="9"/>
        <v>0.50480109739368995</v>
      </c>
      <c r="Y88" s="4">
        <f t="shared" si="13"/>
        <v>368</v>
      </c>
    </row>
    <row r="89" spans="1:25" x14ac:dyDescent="0.25">
      <c r="A89">
        <v>103</v>
      </c>
      <c r="B89" t="s">
        <v>81</v>
      </c>
      <c r="C89">
        <v>138</v>
      </c>
      <c r="D89">
        <v>162</v>
      </c>
      <c r="E89">
        <v>166</v>
      </c>
      <c r="F89">
        <v>142</v>
      </c>
      <c r="G89">
        <v>608</v>
      </c>
      <c r="I89">
        <v>431</v>
      </c>
      <c r="J89" t="s">
        <v>113</v>
      </c>
      <c r="L89">
        <f t="shared" si="14"/>
        <v>177</v>
      </c>
      <c r="M89">
        <v>1</v>
      </c>
      <c r="N89">
        <v>450</v>
      </c>
      <c r="O89" t="s">
        <v>123</v>
      </c>
      <c r="P89" t="s">
        <v>13</v>
      </c>
      <c r="Q89" t="s">
        <v>116</v>
      </c>
      <c r="R89" t="s">
        <v>121</v>
      </c>
      <c r="S89" s="3">
        <v>62</v>
      </c>
      <c r="T89" s="3">
        <f t="shared" si="10"/>
        <v>195.498152</v>
      </c>
      <c r="U89" s="3">
        <f t="shared" si="11"/>
        <v>80.285783999999992</v>
      </c>
      <c r="V89" s="2">
        <f t="shared" si="8"/>
        <v>0.49342105263157893</v>
      </c>
      <c r="W89" s="4">
        <f t="shared" si="12"/>
        <v>300</v>
      </c>
      <c r="X89" s="2">
        <f t="shared" si="9"/>
        <v>0.5</v>
      </c>
      <c r="Y89" s="4">
        <f t="shared" si="13"/>
        <v>304</v>
      </c>
    </row>
    <row r="90" spans="1:25" x14ac:dyDescent="0.25">
      <c r="A90">
        <v>104</v>
      </c>
      <c r="B90" t="s">
        <v>178</v>
      </c>
      <c r="C90">
        <v>178</v>
      </c>
      <c r="D90">
        <v>176</v>
      </c>
      <c r="E90">
        <v>178</v>
      </c>
      <c r="F90">
        <v>174</v>
      </c>
      <c r="G90">
        <v>706</v>
      </c>
      <c r="I90">
        <v>469</v>
      </c>
      <c r="J90" t="s">
        <v>114</v>
      </c>
      <c r="L90">
        <f t="shared" si="14"/>
        <v>237</v>
      </c>
      <c r="M90">
        <v>1</v>
      </c>
      <c r="N90">
        <v>693</v>
      </c>
      <c r="O90" t="s">
        <v>123</v>
      </c>
      <c r="P90" t="s">
        <v>13</v>
      </c>
      <c r="Q90" t="s">
        <v>116</v>
      </c>
      <c r="R90" t="s">
        <v>121</v>
      </c>
      <c r="S90" s="3">
        <f>1530/25.4</f>
        <v>60.236220472440948</v>
      </c>
      <c r="T90" s="3">
        <f t="shared" si="10"/>
        <v>212.73464799999999</v>
      </c>
      <c r="U90" s="3">
        <f t="shared" si="11"/>
        <v>107.501304</v>
      </c>
      <c r="V90" s="2">
        <f t="shared" si="8"/>
        <v>0.50141643059490082</v>
      </c>
      <c r="W90" s="4">
        <f t="shared" si="12"/>
        <v>354</v>
      </c>
      <c r="X90" s="2">
        <f t="shared" si="9"/>
        <v>0.50424929178470257</v>
      </c>
      <c r="Y90" s="4">
        <f t="shared" si="13"/>
        <v>356</v>
      </c>
    </row>
    <row r="91" spans="1:25" x14ac:dyDescent="0.25">
      <c r="A91">
        <v>105</v>
      </c>
      <c r="B91" t="s">
        <v>80</v>
      </c>
      <c r="C91">
        <v>135</v>
      </c>
      <c r="D91">
        <v>153</v>
      </c>
      <c r="E91">
        <v>148</v>
      </c>
      <c r="F91">
        <v>129</v>
      </c>
      <c r="G91">
        <v>565</v>
      </c>
      <c r="I91">
        <v>416</v>
      </c>
      <c r="J91" t="s">
        <v>114</v>
      </c>
      <c r="L91">
        <f t="shared" si="14"/>
        <v>149</v>
      </c>
      <c r="M91">
        <v>1</v>
      </c>
      <c r="N91">
        <v>450</v>
      </c>
      <c r="O91" t="s">
        <v>123</v>
      </c>
      <c r="P91" t="s">
        <v>13</v>
      </c>
      <c r="Q91" t="s">
        <v>116</v>
      </c>
      <c r="R91" t="s">
        <v>122</v>
      </c>
      <c r="S91" s="3">
        <f>1549/25.4</f>
        <v>60.984251968503941</v>
      </c>
      <c r="T91" s="3">
        <f t="shared" si="10"/>
        <v>188.69427200000001</v>
      </c>
      <c r="U91" s="3">
        <f t="shared" si="11"/>
        <v>67.585207999999994</v>
      </c>
      <c r="V91" s="2">
        <f t="shared" si="8"/>
        <v>0.50973451327433628</v>
      </c>
      <c r="W91" s="4">
        <f t="shared" si="12"/>
        <v>288</v>
      </c>
      <c r="X91" s="2">
        <f t="shared" si="9"/>
        <v>0.50088495575221237</v>
      </c>
      <c r="Y91" s="4">
        <f t="shared" si="13"/>
        <v>283</v>
      </c>
    </row>
    <row r="92" spans="1:25" x14ac:dyDescent="0.25">
      <c r="A92">
        <v>106</v>
      </c>
      <c r="B92" t="s">
        <v>34</v>
      </c>
      <c r="C92">
        <v>66</v>
      </c>
      <c r="D92">
        <v>152</v>
      </c>
      <c r="E92">
        <v>183</v>
      </c>
      <c r="F92">
        <v>102</v>
      </c>
      <c r="G92">
        <v>503</v>
      </c>
      <c r="I92">
        <v>343</v>
      </c>
      <c r="J92" t="s">
        <v>113</v>
      </c>
      <c r="L92">
        <f t="shared" si="14"/>
        <v>160</v>
      </c>
      <c r="M92">
        <v>1</v>
      </c>
      <c r="N92">
        <v>450</v>
      </c>
      <c r="O92" t="s">
        <v>124</v>
      </c>
      <c r="P92" t="s">
        <v>13</v>
      </c>
      <c r="Q92" t="s">
        <v>117</v>
      </c>
      <c r="R92" t="s">
        <v>121</v>
      </c>
      <c r="S92" s="3">
        <v>61.5</v>
      </c>
      <c r="T92" s="3">
        <f t="shared" si="10"/>
        <v>155.58205599999999</v>
      </c>
      <c r="U92" s="3">
        <f t="shared" si="11"/>
        <v>72.574719999999999</v>
      </c>
      <c r="V92" s="2">
        <f t="shared" si="8"/>
        <v>0.43339960238568587</v>
      </c>
      <c r="W92" s="4">
        <f t="shared" si="12"/>
        <v>218</v>
      </c>
      <c r="X92" s="2">
        <f t="shared" si="9"/>
        <v>0.49502982107355864</v>
      </c>
      <c r="Y92" s="4">
        <f t="shared" si="13"/>
        <v>249</v>
      </c>
    </row>
    <row r="93" spans="1:25" x14ac:dyDescent="0.25">
      <c r="A93">
        <v>107</v>
      </c>
      <c r="B93" t="s">
        <v>110</v>
      </c>
      <c r="C93">
        <v>107</v>
      </c>
      <c r="D93">
        <v>137</v>
      </c>
      <c r="E93">
        <v>176</v>
      </c>
      <c r="F93">
        <v>141</v>
      </c>
      <c r="G93">
        <v>561</v>
      </c>
      <c r="I93">
        <v>437</v>
      </c>
      <c r="J93" t="s">
        <v>113</v>
      </c>
      <c r="L93">
        <f t="shared" si="14"/>
        <v>124</v>
      </c>
      <c r="M93">
        <v>4</v>
      </c>
      <c r="N93">
        <v>599</v>
      </c>
      <c r="O93" t="s">
        <v>123</v>
      </c>
      <c r="P93" t="s">
        <v>13</v>
      </c>
      <c r="Q93" t="s">
        <v>116</v>
      </c>
      <c r="R93" t="s">
        <v>121</v>
      </c>
      <c r="S93" s="3">
        <v>62</v>
      </c>
      <c r="T93" s="3">
        <f t="shared" si="10"/>
        <v>198.21970400000001</v>
      </c>
      <c r="U93" s="3">
        <f t="shared" si="11"/>
        <v>56.245407999999998</v>
      </c>
      <c r="V93" s="2">
        <f t="shared" si="8"/>
        <v>0.43493761140819964</v>
      </c>
      <c r="W93" s="4">
        <f t="shared" si="12"/>
        <v>244</v>
      </c>
      <c r="X93" s="2">
        <f t="shared" si="9"/>
        <v>0.50445632798573981</v>
      </c>
      <c r="Y93" s="4">
        <f t="shared" si="13"/>
        <v>283</v>
      </c>
    </row>
    <row r="94" spans="1:25" x14ac:dyDescent="0.25">
      <c r="A94">
        <v>108</v>
      </c>
      <c r="B94" t="s">
        <v>30</v>
      </c>
      <c r="C94">
        <v>162</v>
      </c>
      <c r="D94">
        <v>172</v>
      </c>
      <c r="E94">
        <v>166</v>
      </c>
      <c r="F94">
        <v>147</v>
      </c>
      <c r="G94">
        <v>647</v>
      </c>
      <c r="I94">
        <v>498</v>
      </c>
      <c r="J94" t="s">
        <v>113</v>
      </c>
      <c r="M94">
        <v>4</v>
      </c>
      <c r="N94">
        <v>600</v>
      </c>
      <c r="O94" t="s">
        <v>123</v>
      </c>
      <c r="P94" t="s">
        <v>13</v>
      </c>
      <c r="Q94" t="s">
        <v>116</v>
      </c>
      <c r="R94" t="s">
        <v>122</v>
      </c>
      <c r="S94" s="3">
        <f>1575/25.4</f>
        <v>62.007874015748037</v>
      </c>
      <c r="T94" s="3">
        <f t="shared" si="10"/>
        <v>225.88881599999999</v>
      </c>
      <c r="U94" s="3">
        <f t="shared" si="11"/>
        <v>0</v>
      </c>
      <c r="V94" s="2">
        <f t="shared" si="8"/>
        <v>0.51622874806800623</v>
      </c>
      <c r="W94" s="4">
        <f t="shared" si="12"/>
        <v>334</v>
      </c>
      <c r="X94" s="2">
        <f t="shared" si="9"/>
        <v>0.50695517774343124</v>
      </c>
      <c r="Y94" s="4">
        <f t="shared" si="13"/>
        <v>328</v>
      </c>
    </row>
    <row r="95" spans="1:25" x14ac:dyDescent="0.25">
      <c r="A95">
        <v>109</v>
      </c>
      <c r="B95" t="s">
        <v>53</v>
      </c>
      <c r="C95">
        <v>143</v>
      </c>
      <c r="D95">
        <v>182</v>
      </c>
      <c r="E95">
        <v>178</v>
      </c>
      <c r="F95">
        <v>149</v>
      </c>
      <c r="G95">
        <v>652</v>
      </c>
      <c r="I95">
        <v>464</v>
      </c>
      <c r="J95" t="s">
        <v>112</v>
      </c>
      <c r="L95">
        <f t="shared" si="14"/>
        <v>188</v>
      </c>
      <c r="M95">
        <v>1</v>
      </c>
      <c r="N95">
        <v>450</v>
      </c>
      <c r="O95" t="s">
        <v>123</v>
      </c>
      <c r="P95" t="s">
        <v>13</v>
      </c>
      <c r="Q95" t="s">
        <v>117</v>
      </c>
      <c r="R95" t="s">
        <v>121</v>
      </c>
      <c r="S95" s="3">
        <v>62</v>
      </c>
      <c r="T95" s="3">
        <f t="shared" si="10"/>
        <v>210.466688</v>
      </c>
      <c r="U95" s="3">
        <f t="shared" si="11"/>
        <v>85.275295999999997</v>
      </c>
      <c r="V95" s="2">
        <f t="shared" si="8"/>
        <v>0.49846625766871167</v>
      </c>
      <c r="W95" s="4">
        <f t="shared" si="12"/>
        <v>325</v>
      </c>
      <c r="X95" s="2">
        <f t="shared" si="9"/>
        <v>0.49233128834355827</v>
      </c>
      <c r="Y95" s="4">
        <f t="shared" si="13"/>
        <v>321</v>
      </c>
    </row>
    <row r="96" spans="1:25" x14ac:dyDescent="0.25">
      <c r="A96">
        <v>110</v>
      </c>
      <c r="B96" t="s">
        <v>66</v>
      </c>
      <c r="C96">
        <v>138</v>
      </c>
      <c r="D96">
        <v>180</v>
      </c>
      <c r="E96">
        <v>190</v>
      </c>
      <c r="F96">
        <v>161</v>
      </c>
      <c r="G96">
        <v>673</v>
      </c>
      <c r="I96">
        <v>465</v>
      </c>
      <c r="J96" t="s">
        <v>114</v>
      </c>
      <c r="L96">
        <f t="shared" si="14"/>
        <v>208</v>
      </c>
      <c r="M96">
        <v>2</v>
      </c>
      <c r="N96">
        <v>499</v>
      </c>
      <c r="O96" t="s">
        <v>123</v>
      </c>
      <c r="P96" t="s">
        <v>13</v>
      </c>
      <c r="Q96" t="s">
        <v>118</v>
      </c>
      <c r="R96" t="s">
        <v>121</v>
      </c>
      <c r="S96" s="3">
        <v>68</v>
      </c>
      <c r="T96" s="3">
        <f t="shared" si="10"/>
        <v>210.92027999999999</v>
      </c>
      <c r="U96" s="3">
        <f t="shared" si="11"/>
        <v>94.347136000000006</v>
      </c>
      <c r="V96" s="2">
        <f t="shared" si="8"/>
        <v>0.47251114413075779</v>
      </c>
      <c r="W96" s="4">
        <f t="shared" si="12"/>
        <v>318</v>
      </c>
      <c r="X96" s="2">
        <f t="shared" si="9"/>
        <v>0.48736998514115898</v>
      </c>
      <c r="Y96" s="4">
        <f t="shared" si="13"/>
        <v>328</v>
      </c>
    </row>
    <row r="97" spans="1:25" x14ac:dyDescent="0.25">
      <c r="A97">
        <v>111</v>
      </c>
      <c r="B97" t="s">
        <v>77</v>
      </c>
      <c r="C97">
        <v>149</v>
      </c>
      <c r="D97">
        <v>181</v>
      </c>
      <c r="E97">
        <v>185</v>
      </c>
      <c r="F97">
        <v>156</v>
      </c>
      <c r="G97">
        <v>672</v>
      </c>
      <c r="I97">
        <v>545</v>
      </c>
      <c r="J97" t="s">
        <v>112</v>
      </c>
      <c r="L97">
        <f t="shared" si="14"/>
        <v>127</v>
      </c>
      <c r="M97">
        <v>4</v>
      </c>
      <c r="N97">
        <v>600</v>
      </c>
      <c r="O97" t="s">
        <v>123</v>
      </c>
      <c r="P97" t="s">
        <v>13</v>
      </c>
      <c r="Q97" t="s">
        <v>118</v>
      </c>
      <c r="R97" t="s">
        <v>122</v>
      </c>
      <c r="S97" s="3">
        <v>64</v>
      </c>
      <c r="T97" s="3">
        <f t="shared" si="10"/>
        <v>247.20764</v>
      </c>
      <c r="U97" s="3">
        <f t="shared" si="11"/>
        <v>57.606183999999999</v>
      </c>
      <c r="V97" s="2">
        <f t="shared" si="8"/>
        <v>0.49107142857142855</v>
      </c>
      <c r="W97" s="4">
        <f t="shared" si="12"/>
        <v>330</v>
      </c>
      <c r="X97" s="2">
        <f t="shared" si="9"/>
        <v>0.49702380952380953</v>
      </c>
      <c r="Y97" s="4">
        <f t="shared" si="13"/>
        <v>334</v>
      </c>
    </row>
    <row r="98" spans="1:25" s="17" customFormat="1" x14ac:dyDescent="0.25">
      <c r="A98" s="17">
        <v>112</v>
      </c>
      <c r="B98" s="17" t="s">
        <v>102</v>
      </c>
      <c r="H98" s="21"/>
      <c r="K98" s="21"/>
      <c r="L98" s="17" t="str">
        <f t="shared" si="14"/>
        <v/>
      </c>
      <c r="S98" s="18"/>
      <c r="T98" s="18">
        <f t="shared" si="10"/>
        <v>0</v>
      </c>
      <c r="U98" s="18" t="e">
        <f t="shared" si="11"/>
        <v>#VALUE!</v>
      </c>
      <c r="V98" s="19" t="str">
        <f t="shared" si="8"/>
        <v/>
      </c>
      <c r="W98" s="20">
        <f t="shared" si="12"/>
        <v>0</v>
      </c>
      <c r="X98" s="19" t="str">
        <f t="shared" si="9"/>
        <v/>
      </c>
      <c r="Y98" s="20">
        <f t="shared" si="13"/>
        <v>0</v>
      </c>
    </row>
    <row r="99" spans="1:25" x14ac:dyDescent="0.25">
      <c r="A99">
        <v>113</v>
      </c>
      <c r="B99" t="s">
        <v>88</v>
      </c>
      <c r="C99">
        <v>125</v>
      </c>
      <c r="D99">
        <v>134</v>
      </c>
      <c r="E99">
        <v>141</v>
      </c>
      <c r="F99">
        <v>134</v>
      </c>
      <c r="G99">
        <v>534</v>
      </c>
      <c r="I99">
        <v>370</v>
      </c>
      <c r="J99" t="s">
        <v>114</v>
      </c>
      <c r="L99">
        <f t="shared" si="14"/>
        <v>164</v>
      </c>
      <c r="M99">
        <v>1</v>
      </c>
      <c r="N99">
        <v>449</v>
      </c>
      <c r="O99" t="s">
        <v>123</v>
      </c>
      <c r="P99" t="s">
        <v>13</v>
      </c>
      <c r="Q99" t="s">
        <v>116</v>
      </c>
      <c r="R99" t="s">
        <v>121</v>
      </c>
      <c r="S99" s="3">
        <f>1550/25.4</f>
        <v>61.023622047244096</v>
      </c>
      <c r="T99" s="3">
        <f t="shared" si="10"/>
        <v>167.82903999999999</v>
      </c>
      <c r="U99" s="3">
        <f t="shared" si="11"/>
        <v>74.389088000000001</v>
      </c>
      <c r="V99" s="2">
        <f t="shared" si="8"/>
        <v>0.48501872659176032</v>
      </c>
      <c r="W99" s="4">
        <f t="shared" si="12"/>
        <v>259</v>
      </c>
      <c r="X99" s="2">
        <f t="shared" si="9"/>
        <v>0.49812734082397003</v>
      </c>
      <c r="Y99" s="4">
        <f t="shared" si="13"/>
        <v>266</v>
      </c>
    </row>
    <row r="100" spans="1:25" x14ac:dyDescent="0.25">
      <c r="A100">
        <v>114</v>
      </c>
      <c r="B100" t="s">
        <v>179</v>
      </c>
      <c r="C100">
        <v>162</v>
      </c>
      <c r="D100">
        <v>217</v>
      </c>
      <c r="E100">
        <v>245</v>
      </c>
      <c r="F100">
        <v>183</v>
      </c>
      <c r="G100">
        <v>805</v>
      </c>
      <c r="I100">
        <v>661</v>
      </c>
      <c r="J100" t="s">
        <v>114</v>
      </c>
      <c r="L100">
        <f t="shared" si="14"/>
        <v>144</v>
      </c>
      <c r="M100">
        <v>4</v>
      </c>
      <c r="N100">
        <v>599</v>
      </c>
      <c r="O100" t="s">
        <v>123</v>
      </c>
      <c r="P100" t="s">
        <v>13</v>
      </c>
      <c r="Q100" t="s">
        <v>116</v>
      </c>
      <c r="R100" t="s">
        <v>122</v>
      </c>
      <c r="S100" s="3">
        <v>65</v>
      </c>
      <c r="T100" s="3">
        <f t="shared" si="10"/>
        <v>299.82431200000002</v>
      </c>
      <c r="U100" s="3">
        <f t="shared" si="11"/>
        <v>65.317248000000006</v>
      </c>
      <c r="V100" s="2">
        <f t="shared" si="8"/>
        <v>0.47080745341614905</v>
      </c>
      <c r="W100" s="4">
        <f t="shared" si="12"/>
        <v>379</v>
      </c>
      <c r="X100" s="2">
        <f t="shared" si="9"/>
        <v>0.50559006211180124</v>
      </c>
      <c r="Y100" s="4">
        <f t="shared" si="13"/>
        <v>407</v>
      </c>
    </row>
    <row r="101" spans="1:25" x14ac:dyDescent="0.25">
      <c r="A101">
        <v>115</v>
      </c>
      <c r="B101" t="s">
        <v>64</v>
      </c>
      <c r="C101">
        <v>150</v>
      </c>
      <c r="D101">
        <v>173</v>
      </c>
      <c r="E101">
        <v>175</v>
      </c>
      <c r="F101">
        <v>135</v>
      </c>
      <c r="G101">
        <v>633</v>
      </c>
      <c r="I101">
        <v>451</v>
      </c>
      <c r="J101" t="s">
        <v>113</v>
      </c>
      <c r="L101">
        <f t="shared" si="14"/>
        <v>182</v>
      </c>
      <c r="M101">
        <v>4</v>
      </c>
      <c r="N101">
        <v>599</v>
      </c>
      <c r="O101" t="s">
        <v>123</v>
      </c>
      <c r="P101" t="s">
        <v>13</v>
      </c>
      <c r="Q101" t="s">
        <v>117</v>
      </c>
      <c r="R101" t="s">
        <v>121</v>
      </c>
      <c r="S101" s="3">
        <f>1536/25.4</f>
        <v>60.472440944881896</v>
      </c>
      <c r="T101" s="3">
        <f t="shared" si="10"/>
        <v>204.56999199999998</v>
      </c>
      <c r="U101" s="3">
        <f t="shared" si="11"/>
        <v>82.553743999999995</v>
      </c>
      <c r="V101" s="2">
        <f t="shared" si="8"/>
        <v>0.51026856240126384</v>
      </c>
      <c r="W101" s="4">
        <f t="shared" si="12"/>
        <v>323</v>
      </c>
      <c r="X101" s="2">
        <f t="shared" si="9"/>
        <v>0.51342812006319116</v>
      </c>
      <c r="Y101" s="4">
        <f t="shared" si="13"/>
        <v>325</v>
      </c>
    </row>
    <row r="102" spans="1:25" s="17" customFormat="1" x14ac:dyDescent="0.25">
      <c r="A102" s="17">
        <v>116</v>
      </c>
      <c r="B102" s="17" t="s">
        <v>180</v>
      </c>
      <c r="H102" s="21"/>
      <c r="K102" s="21"/>
      <c r="L102" s="17" t="str">
        <f t="shared" si="14"/>
        <v/>
      </c>
      <c r="S102" s="18"/>
      <c r="T102" s="18">
        <f t="shared" si="10"/>
        <v>0</v>
      </c>
      <c r="U102" s="18" t="e">
        <f t="shared" si="11"/>
        <v>#VALUE!</v>
      </c>
      <c r="V102" s="19" t="str">
        <f t="shared" si="8"/>
        <v/>
      </c>
      <c r="W102" s="20">
        <f t="shared" si="12"/>
        <v>0</v>
      </c>
      <c r="X102" s="19" t="str">
        <f t="shared" si="9"/>
        <v/>
      </c>
      <c r="Y102" s="20">
        <f t="shared" si="13"/>
        <v>0</v>
      </c>
    </row>
    <row r="103" spans="1:25" x14ac:dyDescent="0.25">
      <c r="A103">
        <v>117</v>
      </c>
      <c r="B103" t="s">
        <v>74</v>
      </c>
      <c r="C103">
        <v>158</v>
      </c>
      <c r="D103">
        <v>172</v>
      </c>
      <c r="E103">
        <v>184</v>
      </c>
      <c r="F103">
        <v>175</v>
      </c>
      <c r="G103">
        <v>688</v>
      </c>
      <c r="I103">
        <v>500</v>
      </c>
      <c r="J103" t="s">
        <v>114</v>
      </c>
      <c r="L103">
        <f t="shared" si="14"/>
        <v>188</v>
      </c>
      <c r="M103">
        <v>4</v>
      </c>
      <c r="N103">
        <v>599</v>
      </c>
      <c r="O103" t="s">
        <v>123</v>
      </c>
      <c r="P103" t="s">
        <v>13</v>
      </c>
      <c r="Q103" t="s">
        <v>118</v>
      </c>
      <c r="R103" t="s">
        <v>121</v>
      </c>
      <c r="S103" s="3">
        <v>61</v>
      </c>
      <c r="T103" s="3">
        <f t="shared" si="10"/>
        <v>226.79599999999999</v>
      </c>
      <c r="U103" s="3">
        <f t="shared" si="11"/>
        <v>85.275295999999997</v>
      </c>
      <c r="V103" s="14">
        <f t="shared" si="8"/>
        <v>0.47965116279069769</v>
      </c>
      <c r="W103" s="15">
        <f t="shared" si="12"/>
        <v>330</v>
      </c>
      <c r="X103" s="14">
        <f t="shared" si="9"/>
        <v>0.49709302325581395</v>
      </c>
      <c r="Y103" s="15">
        <f t="shared" si="13"/>
        <v>342</v>
      </c>
    </row>
    <row r="104" spans="1:25" x14ac:dyDescent="0.25">
      <c r="A104">
        <v>118</v>
      </c>
      <c r="B104" t="s">
        <v>83</v>
      </c>
      <c r="C104">
        <v>157</v>
      </c>
      <c r="D104">
        <v>164</v>
      </c>
      <c r="E104">
        <v>165</v>
      </c>
      <c r="F104">
        <v>159</v>
      </c>
      <c r="G104">
        <v>647</v>
      </c>
      <c r="I104">
        <v>470</v>
      </c>
      <c r="J104" t="s">
        <v>113</v>
      </c>
      <c r="L104">
        <f t="shared" si="14"/>
        <v>177</v>
      </c>
      <c r="M104">
        <v>4</v>
      </c>
      <c r="N104">
        <v>599</v>
      </c>
      <c r="O104" t="s">
        <v>123</v>
      </c>
      <c r="P104" t="s">
        <v>13</v>
      </c>
      <c r="Q104" t="s">
        <v>118</v>
      </c>
      <c r="R104" t="s">
        <v>121</v>
      </c>
      <c r="S104" s="3">
        <f>1537/25.4</f>
        <v>60.511811023622052</v>
      </c>
      <c r="T104" s="3">
        <f t="shared" si="10"/>
        <v>213.18824000000001</v>
      </c>
      <c r="U104" s="3">
        <f t="shared" si="11"/>
        <v>80.285783999999992</v>
      </c>
      <c r="V104" s="2">
        <f t="shared" si="8"/>
        <v>0.49613601236476046</v>
      </c>
      <c r="W104" s="4">
        <f t="shared" si="12"/>
        <v>321</v>
      </c>
      <c r="X104" s="2">
        <f t="shared" si="9"/>
        <v>0.49768160741885625</v>
      </c>
      <c r="Y104" s="4">
        <f t="shared" si="13"/>
        <v>322</v>
      </c>
    </row>
    <row r="105" spans="1:25" x14ac:dyDescent="0.25">
      <c r="A105">
        <v>119</v>
      </c>
      <c r="B105" t="s">
        <v>98</v>
      </c>
      <c r="C105">
        <v>125</v>
      </c>
      <c r="D105">
        <v>146</v>
      </c>
      <c r="E105">
        <v>163</v>
      </c>
      <c r="F105">
        <v>140</v>
      </c>
      <c r="G105">
        <v>574</v>
      </c>
      <c r="I105">
        <v>422</v>
      </c>
      <c r="J105" t="s">
        <v>112</v>
      </c>
      <c r="L105">
        <f t="shared" si="14"/>
        <v>152</v>
      </c>
      <c r="M105">
        <v>2</v>
      </c>
      <c r="N105">
        <v>689</v>
      </c>
      <c r="O105" t="s">
        <v>123</v>
      </c>
      <c r="P105" t="s">
        <v>13</v>
      </c>
      <c r="Q105" t="s">
        <v>118</v>
      </c>
      <c r="R105" t="s">
        <v>121</v>
      </c>
      <c r="S105" s="3">
        <v>60.6</v>
      </c>
      <c r="T105" s="3">
        <f t="shared" si="10"/>
        <v>191.41582399999999</v>
      </c>
      <c r="U105" s="3">
        <f t="shared" si="11"/>
        <v>68.945983999999996</v>
      </c>
      <c r="V105" s="2">
        <f t="shared" si="8"/>
        <v>0.47212543554006969</v>
      </c>
      <c r="W105" s="4">
        <f t="shared" si="12"/>
        <v>271</v>
      </c>
      <c r="X105" s="2">
        <f t="shared" si="9"/>
        <v>0.50174216027874563</v>
      </c>
      <c r="Y105" s="4">
        <f t="shared" si="13"/>
        <v>288</v>
      </c>
    </row>
    <row r="106" spans="1:25" x14ac:dyDescent="0.25">
      <c r="A106">
        <v>120</v>
      </c>
      <c r="B106" t="s">
        <v>97</v>
      </c>
      <c r="L106" t="str">
        <f t="shared" si="14"/>
        <v/>
      </c>
      <c r="S106" s="3"/>
      <c r="T106" s="3">
        <f t="shared" si="10"/>
        <v>0</v>
      </c>
      <c r="U106" s="3" t="e">
        <f t="shared" si="11"/>
        <v>#VALUE!</v>
      </c>
      <c r="V106" s="2" t="str">
        <f t="shared" si="8"/>
        <v/>
      </c>
      <c r="W106" s="4">
        <f t="shared" si="12"/>
        <v>0</v>
      </c>
      <c r="X106" s="2" t="str">
        <f t="shared" si="9"/>
        <v/>
      </c>
      <c r="Y106" s="4">
        <f t="shared" si="13"/>
        <v>0</v>
      </c>
    </row>
    <row r="107" spans="1:25" x14ac:dyDescent="0.25">
      <c r="A107">
        <v>122</v>
      </c>
      <c r="B107" t="s">
        <v>68</v>
      </c>
      <c r="C107">
        <v>147</v>
      </c>
      <c r="D107">
        <v>175</v>
      </c>
      <c r="E107">
        <v>188</v>
      </c>
      <c r="F107">
        <v>156</v>
      </c>
      <c r="G107">
        <v>667</v>
      </c>
      <c r="I107">
        <v>491</v>
      </c>
      <c r="J107" t="s">
        <v>112</v>
      </c>
      <c r="L107">
        <f t="shared" si="14"/>
        <v>176</v>
      </c>
      <c r="M107">
        <v>4</v>
      </c>
      <c r="N107">
        <v>599</v>
      </c>
      <c r="O107" t="s">
        <v>123</v>
      </c>
      <c r="P107" t="s">
        <v>13</v>
      </c>
      <c r="Q107" t="s">
        <v>118</v>
      </c>
      <c r="R107" t="s">
        <v>122</v>
      </c>
      <c r="S107" s="3">
        <v>62</v>
      </c>
      <c r="T107" s="3">
        <f t="shared" si="10"/>
        <v>222.713672</v>
      </c>
      <c r="U107" s="3">
        <f t="shared" si="11"/>
        <v>79.832191999999992</v>
      </c>
      <c r="V107" s="2">
        <f t="shared" si="8"/>
        <v>0.48275862068965519</v>
      </c>
      <c r="W107" s="4">
        <f t="shared" si="12"/>
        <v>322</v>
      </c>
      <c r="X107" s="2">
        <f t="shared" si="9"/>
        <v>0.50224887556221887</v>
      </c>
      <c r="Y107" s="4">
        <f t="shared" si="13"/>
        <v>335</v>
      </c>
    </row>
    <row r="108" spans="1:25" x14ac:dyDescent="0.25">
      <c r="A108">
        <v>123</v>
      </c>
      <c r="B108" t="s">
        <v>90</v>
      </c>
      <c r="C108">
        <v>125</v>
      </c>
      <c r="D108">
        <v>153</v>
      </c>
      <c r="E108">
        <v>160</v>
      </c>
      <c r="F108">
        <v>130</v>
      </c>
      <c r="G108">
        <v>571</v>
      </c>
      <c r="I108">
        <v>425</v>
      </c>
      <c r="J108" t="s">
        <v>114</v>
      </c>
      <c r="L108">
        <f t="shared" si="14"/>
        <v>146</v>
      </c>
      <c r="M108">
        <v>4</v>
      </c>
      <c r="N108">
        <v>599</v>
      </c>
      <c r="O108" t="s">
        <v>123</v>
      </c>
      <c r="P108" t="s">
        <v>13</v>
      </c>
      <c r="Q108" t="s">
        <v>116</v>
      </c>
      <c r="R108" t="s">
        <v>121</v>
      </c>
      <c r="S108" s="3">
        <v>60</v>
      </c>
      <c r="T108" s="3">
        <f t="shared" si="10"/>
        <v>192.7766</v>
      </c>
      <c r="U108" s="3">
        <f t="shared" si="11"/>
        <v>66.224431999999993</v>
      </c>
      <c r="V108" s="14">
        <f t="shared" si="8"/>
        <v>0.48686514886164622</v>
      </c>
      <c r="W108" s="15">
        <f t="shared" si="12"/>
        <v>278</v>
      </c>
      <c r="X108" s="14">
        <f t="shared" si="9"/>
        <v>0.49912434325744309</v>
      </c>
      <c r="Y108" s="15">
        <f t="shared" si="13"/>
        <v>285</v>
      </c>
    </row>
    <row r="109" spans="1:25" x14ac:dyDescent="0.25">
      <c r="A109">
        <v>124</v>
      </c>
      <c r="B109" t="s">
        <v>106</v>
      </c>
      <c r="C109">
        <v>155</v>
      </c>
      <c r="D109">
        <v>145</v>
      </c>
      <c r="E109">
        <v>165</v>
      </c>
      <c r="F109">
        <v>169</v>
      </c>
      <c r="G109">
        <v>634</v>
      </c>
      <c r="I109">
        <v>464</v>
      </c>
      <c r="J109" t="s">
        <v>113</v>
      </c>
      <c r="L109">
        <f t="shared" si="14"/>
        <v>170</v>
      </c>
      <c r="M109">
        <v>4</v>
      </c>
      <c r="N109">
        <v>636</v>
      </c>
      <c r="O109" t="s">
        <v>123</v>
      </c>
      <c r="P109" t="s">
        <v>13</v>
      </c>
      <c r="Q109" t="s">
        <v>117</v>
      </c>
      <c r="R109" t="s">
        <v>121</v>
      </c>
      <c r="S109" s="3">
        <v>63.5</v>
      </c>
      <c r="T109" s="3">
        <f t="shared" si="10"/>
        <v>210.466688</v>
      </c>
      <c r="U109" s="3">
        <f t="shared" si="11"/>
        <v>77.110640000000004</v>
      </c>
      <c r="V109" s="2">
        <f t="shared" si="8"/>
        <v>0.47318611987381703</v>
      </c>
      <c r="W109" s="4">
        <f t="shared" si="12"/>
        <v>300</v>
      </c>
      <c r="X109" s="2">
        <f t="shared" si="9"/>
        <v>0.50473186119873814</v>
      </c>
      <c r="Y109" s="4">
        <f t="shared" si="13"/>
        <v>320</v>
      </c>
    </row>
    <row r="110" spans="1:25" x14ac:dyDescent="0.25">
      <c r="A110">
        <v>125</v>
      </c>
      <c r="B110" t="s">
        <v>108</v>
      </c>
      <c r="C110">
        <v>143</v>
      </c>
      <c r="D110">
        <v>176</v>
      </c>
      <c r="E110">
        <v>178</v>
      </c>
      <c r="F110">
        <v>153</v>
      </c>
      <c r="G110">
        <v>649</v>
      </c>
      <c r="I110">
        <v>467</v>
      </c>
      <c r="J110" t="s">
        <v>113</v>
      </c>
      <c r="L110">
        <f t="shared" si="14"/>
        <v>182</v>
      </c>
      <c r="M110">
        <v>4</v>
      </c>
      <c r="N110">
        <v>599</v>
      </c>
      <c r="O110" t="s">
        <v>123</v>
      </c>
      <c r="P110" t="s">
        <v>13</v>
      </c>
      <c r="Q110" t="s">
        <v>116</v>
      </c>
      <c r="R110" t="s">
        <v>122</v>
      </c>
      <c r="S110" s="3">
        <v>64</v>
      </c>
      <c r="T110" s="3">
        <f t="shared" si="10"/>
        <v>211.82746399999999</v>
      </c>
      <c r="U110" s="3">
        <f t="shared" si="11"/>
        <v>82.553743999999995</v>
      </c>
      <c r="V110" s="2">
        <f t="shared" si="8"/>
        <v>0.49152542372881358</v>
      </c>
      <c r="W110" s="4">
        <f t="shared" si="12"/>
        <v>319</v>
      </c>
      <c r="X110" s="2">
        <f t="shared" si="9"/>
        <v>0.49460708782742679</v>
      </c>
      <c r="Y110" s="4">
        <f t="shared" si="13"/>
        <v>321</v>
      </c>
    </row>
    <row r="111" spans="1:25" x14ac:dyDescent="0.25">
      <c r="A111">
        <v>126</v>
      </c>
      <c r="B111" t="s">
        <v>107</v>
      </c>
      <c r="C111">
        <v>122</v>
      </c>
      <c r="D111">
        <v>159</v>
      </c>
      <c r="E111">
        <v>189</v>
      </c>
      <c r="F111">
        <v>144</v>
      </c>
      <c r="G111">
        <v>614</v>
      </c>
      <c r="I111">
        <v>465</v>
      </c>
      <c r="J111" t="s">
        <v>114</v>
      </c>
      <c r="L111">
        <f t="shared" si="14"/>
        <v>149</v>
      </c>
      <c r="M111">
        <v>4</v>
      </c>
      <c r="N111">
        <v>599</v>
      </c>
      <c r="O111" t="s">
        <v>123</v>
      </c>
      <c r="P111" t="s">
        <v>14</v>
      </c>
      <c r="Q111" t="s">
        <v>118</v>
      </c>
      <c r="R111" t="s">
        <v>122</v>
      </c>
      <c r="S111" s="3">
        <v>63</v>
      </c>
      <c r="T111" s="3">
        <f t="shared" si="10"/>
        <v>210.92027999999999</v>
      </c>
      <c r="U111" s="3">
        <f t="shared" si="11"/>
        <v>67.585207999999994</v>
      </c>
      <c r="V111" s="2">
        <f t="shared" si="8"/>
        <v>0.45765472312703581</v>
      </c>
      <c r="W111" s="4">
        <f t="shared" si="12"/>
        <v>281</v>
      </c>
      <c r="X111" s="2">
        <f t="shared" si="9"/>
        <v>0.50651465798045603</v>
      </c>
      <c r="Y111" s="4">
        <f t="shared" si="13"/>
        <v>311</v>
      </c>
    </row>
    <row r="112" spans="1:25" x14ac:dyDescent="0.25">
      <c r="A112">
        <v>131</v>
      </c>
      <c r="B112" t="s">
        <v>181</v>
      </c>
      <c r="C112">
        <v>194</v>
      </c>
      <c r="D112">
        <v>274</v>
      </c>
      <c r="E112">
        <v>260</v>
      </c>
      <c r="F112">
        <v>170</v>
      </c>
      <c r="G112">
        <v>898</v>
      </c>
      <c r="I112">
        <v>712</v>
      </c>
      <c r="J112" t="s">
        <v>114</v>
      </c>
      <c r="L112">
        <f t="shared" si="14"/>
        <v>186</v>
      </c>
      <c r="M112">
        <v>4</v>
      </c>
      <c r="N112">
        <v>600</v>
      </c>
      <c r="O112" t="s">
        <v>125</v>
      </c>
      <c r="P112" t="s">
        <v>13</v>
      </c>
      <c r="Q112" t="s">
        <v>116</v>
      </c>
      <c r="R112" t="s">
        <v>122</v>
      </c>
      <c r="S112" s="3">
        <v>68.5</v>
      </c>
      <c r="T112" s="3">
        <f t="shared" si="10"/>
        <v>322.95750399999997</v>
      </c>
      <c r="U112" s="3">
        <f t="shared" si="11"/>
        <v>84.368111999999996</v>
      </c>
      <c r="V112" s="2">
        <f t="shared" si="8"/>
        <v>0.52115812917594651</v>
      </c>
      <c r="W112" s="4">
        <f t="shared" si="12"/>
        <v>468</v>
      </c>
      <c r="X112" s="2">
        <f t="shared" si="9"/>
        <v>0.50556792873051226</v>
      </c>
      <c r="Y112" s="4">
        <f t="shared" si="13"/>
        <v>454</v>
      </c>
    </row>
    <row r="113" spans="1:25" x14ac:dyDescent="0.25">
      <c r="A113">
        <v>132</v>
      </c>
      <c r="B113" t="s">
        <v>45</v>
      </c>
      <c r="C113">
        <v>136</v>
      </c>
      <c r="D113">
        <v>148</v>
      </c>
      <c r="E113">
        <v>181</v>
      </c>
      <c r="F113">
        <v>174</v>
      </c>
      <c r="G113">
        <v>639</v>
      </c>
      <c r="I113">
        <v>469</v>
      </c>
      <c r="J113" t="s">
        <v>113</v>
      </c>
      <c r="L113">
        <f t="shared" si="14"/>
        <v>170</v>
      </c>
      <c r="M113">
        <v>4</v>
      </c>
      <c r="N113">
        <v>599</v>
      </c>
      <c r="O113" t="s">
        <v>123</v>
      </c>
      <c r="P113" t="s">
        <v>13</v>
      </c>
      <c r="Q113" t="s">
        <v>117</v>
      </c>
      <c r="R113" t="s">
        <v>122</v>
      </c>
      <c r="S113" s="3">
        <f>1612/25.4</f>
        <v>63.464566929133859</v>
      </c>
      <c r="T113" s="3">
        <f t="shared" si="10"/>
        <v>212.73464799999999</v>
      </c>
      <c r="U113" s="3">
        <f t="shared" si="11"/>
        <v>77.110640000000004</v>
      </c>
      <c r="V113" s="2">
        <f t="shared" si="8"/>
        <v>0.44444444444444442</v>
      </c>
      <c r="W113" s="4">
        <f t="shared" si="12"/>
        <v>284</v>
      </c>
      <c r="X113" s="2">
        <f t="shared" si="9"/>
        <v>0.49608763693270735</v>
      </c>
      <c r="Y113" s="4">
        <f t="shared" si="13"/>
        <v>317</v>
      </c>
    </row>
    <row r="114" spans="1:25" x14ac:dyDescent="0.25">
      <c r="A114">
        <v>139</v>
      </c>
      <c r="B114" t="s">
        <v>182</v>
      </c>
      <c r="C114">
        <v>143</v>
      </c>
      <c r="D114">
        <v>161</v>
      </c>
      <c r="E114">
        <v>162</v>
      </c>
      <c r="F114">
        <v>147</v>
      </c>
      <c r="G114">
        <v>614</v>
      </c>
      <c r="I114">
        <v>461</v>
      </c>
      <c r="J114" t="s">
        <v>114</v>
      </c>
      <c r="L114">
        <f t="shared" si="14"/>
        <v>153</v>
      </c>
      <c r="M114">
        <v>4</v>
      </c>
      <c r="N114">
        <v>599</v>
      </c>
      <c r="O114" t="s">
        <v>123</v>
      </c>
      <c r="P114" t="s">
        <v>13</v>
      </c>
      <c r="Q114" t="s">
        <v>118</v>
      </c>
      <c r="R114" t="s">
        <v>121</v>
      </c>
      <c r="S114" s="3">
        <f>1540/25.4</f>
        <v>60.629921259842526</v>
      </c>
      <c r="T114" s="3">
        <f t="shared" si="10"/>
        <v>209.10591199999999</v>
      </c>
      <c r="U114" s="3">
        <f t="shared" si="11"/>
        <v>69.399575999999996</v>
      </c>
      <c r="V114" s="2">
        <f t="shared" si="8"/>
        <v>0.49511400651465798</v>
      </c>
      <c r="W114" s="4">
        <f t="shared" si="12"/>
        <v>304</v>
      </c>
      <c r="X114" s="2">
        <f t="shared" si="9"/>
        <v>0.49674267100977199</v>
      </c>
      <c r="Y114" s="4">
        <f t="shared" si="13"/>
        <v>305</v>
      </c>
    </row>
    <row r="115" spans="1:25" x14ac:dyDescent="0.25">
      <c r="L115" t="str">
        <f t="shared" si="14"/>
        <v/>
      </c>
      <c r="T115" s="3">
        <f t="shared" si="10"/>
        <v>0</v>
      </c>
      <c r="U115" s="3" t="e">
        <f t="shared" si="11"/>
        <v>#VALUE!</v>
      </c>
      <c r="V115" s="2" t="str">
        <f t="shared" si="8"/>
        <v/>
      </c>
      <c r="W115" s="4">
        <f t="shared" si="12"/>
        <v>0</v>
      </c>
      <c r="X115" s="2" t="str">
        <f t="shared" si="9"/>
        <v/>
      </c>
      <c r="Y115" s="4">
        <f t="shared" si="13"/>
        <v>0</v>
      </c>
    </row>
    <row r="116" spans="1:25" x14ac:dyDescent="0.25">
      <c r="L116" t="str">
        <f t="shared" si="14"/>
        <v/>
      </c>
      <c r="T116" s="3">
        <f t="shared" si="10"/>
        <v>0</v>
      </c>
      <c r="U116" s="3" t="e">
        <f t="shared" si="11"/>
        <v>#VALUE!</v>
      </c>
      <c r="V116" s="2" t="str">
        <f t="shared" si="8"/>
        <v/>
      </c>
      <c r="W116" s="4">
        <f t="shared" si="12"/>
        <v>0</v>
      </c>
      <c r="X116" s="2" t="str">
        <f t="shared" si="9"/>
        <v/>
      </c>
      <c r="Y116" s="4">
        <f t="shared" si="13"/>
        <v>0</v>
      </c>
    </row>
    <row r="117" spans="1:25" x14ac:dyDescent="0.25">
      <c r="L117" t="str">
        <f t="shared" si="14"/>
        <v/>
      </c>
      <c r="T117" s="3">
        <f t="shared" si="10"/>
        <v>0</v>
      </c>
      <c r="U117" s="3" t="e">
        <f t="shared" si="11"/>
        <v>#VALUE!</v>
      </c>
      <c r="V117" s="2" t="str">
        <f t="shared" si="8"/>
        <v/>
      </c>
      <c r="W117" s="4">
        <f t="shared" si="12"/>
        <v>0</v>
      </c>
      <c r="X117" s="2" t="str">
        <f t="shared" si="9"/>
        <v/>
      </c>
      <c r="Y117" s="4">
        <f t="shared" si="13"/>
        <v>0</v>
      </c>
    </row>
    <row r="118" spans="1:25" x14ac:dyDescent="0.25">
      <c r="L118" t="str">
        <f t="shared" si="14"/>
        <v/>
      </c>
      <c r="T118" s="3">
        <f t="shared" si="10"/>
        <v>0</v>
      </c>
      <c r="U118" s="3" t="e">
        <f t="shared" si="11"/>
        <v>#VALUE!</v>
      </c>
      <c r="V118" s="2" t="str">
        <f>IF($G118="","",($C118+$D118)/$G118)</f>
        <v/>
      </c>
      <c r="W118" s="4">
        <f t="shared" si="12"/>
        <v>0</v>
      </c>
      <c r="X118" s="2" t="str">
        <f t="shared" si="9"/>
        <v/>
      </c>
      <c r="Y118" s="4">
        <f t="shared" si="13"/>
        <v>0</v>
      </c>
    </row>
    <row r="119" spans="1:25" x14ac:dyDescent="0.25">
      <c r="L119" t="str">
        <f t="shared" si="14"/>
        <v/>
      </c>
      <c r="T119" s="3">
        <f t="shared" si="10"/>
        <v>0</v>
      </c>
      <c r="U119" s="3" t="e">
        <f t="shared" si="11"/>
        <v>#VALUE!</v>
      </c>
      <c r="V119" s="2" t="str">
        <f t="shared" ref="V119:V120" si="15">IF($G119="","",($C119+$D119)/$G119)</f>
        <v/>
      </c>
      <c r="W119" s="4">
        <f t="shared" si="12"/>
        <v>0</v>
      </c>
      <c r="X119" s="2" t="str">
        <f t="shared" si="9"/>
        <v/>
      </c>
      <c r="Y119" s="4">
        <f t="shared" si="13"/>
        <v>0</v>
      </c>
    </row>
    <row r="120" spans="1:25" x14ac:dyDescent="0.25">
      <c r="L120" t="str">
        <f t="shared" si="14"/>
        <v/>
      </c>
      <c r="T120" s="3">
        <f t="shared" si="10"/>
        <v>0</v>
      </c>
      <c r="U120" s="3" t="e">
        <f t="shared" si="11"/>
        <v>#VALUE!</v>
      </c>
      <c r="V120" s="2" t="str">
        <f t="shared" si="15"/>
        <v/>
      </c>
      <c r="W120" s="4">
        <f t="shared" si="12"/>
        <v>0</v>
      </c>
      <c r="X120" s="2" t="str">
        <f>IF($G120="","",($C120+$E120)/$G120)</f>
        <v/>
      </c>
      <c r="Y120" s="4">
        <f t="shared" si="13"/>
        <v>0</v>
      </c>
    </row>
    <row r="121" spans="1:25" s="1" customFormat="1" x14ac:dyDescent="0.25">
      <c r="H121" s="21"/>
      <c r="K121" s="21"/>
    </row>
    <row r="122" spans="1:25" x14ac:dyDescent="0.25">
      <c r="A122">
        <f>COUNT(A2:A120)</f>
        <v>113</v>
      </c>
      <c r="B122" s="5" t="s">
        <v>134</v>
      </c>
      <c r="G122">
        <f>COUNT(G2:G120)</f>
        <v>106</v>
      </c>
      <c r="I122">
        <f>COUNT(I2:I120)</f>
        <v>106</v>
      </c>
    </row>
    <row r="123" spans="1:25" s="1" customFormat="1" x14ac:dyDescent="0.25">
      <c r="H123" s="21"/>
      <c r="K123" s="21"/>
    </row>
    <row r="124" spans="1:25" x14ac:dyDescent="0.25">
      <c r="B124" t="s">
        <v>135</v>
      </c>
      <c r="G124" s="3">
        <f>AVERAGE(G2:G120)</f>
        <v>622.55660377358492</v>
      </c>
      <c r="I124" s="3">
        <f>AVERAGE(I2:I120)</f>
        <v>456.47169811320754</v>
      </c>
      <c r="V124" s="2">
        <f>AVERAGE(V2:V120)</f>
        <v>0.49213795962011236</v>
      </c>
      <c r="X124" s="2">
        <f>AVERAGE(X2:X120)</f>
        <v>0.4998777062206321</v>
      </c>
    </row>
    <row r="125" spans="1:25" x14ac:dyDescent="0.25">
      <c r="B125" t="s">
        <v>136</v>
      </c>
      <c r="G125" s="3">
        <f>STDEV(G2:G120)</f>
        <v>70.85183469596528</v>
      </c>
      <c r="I125" s="3">
        <f>STDEV(I2:I120)</f>
        <v>65.733836694755212</v>
      </c>
      <c r="V125" s="2">
        <f>STDEV(V2:V120)</f>
        <v>2.4713997330950501E-2</v>
      </c>
      <c r="X125" s="2">
        <f>STDEV(X2:X120)</f>
        <v>5.2255247210475147E-3</v>
      </c>
    </row>
    <row r="126" spans="1:25" x14ac:dyDescent="0.25">
      <c r="B126" t="s">
        <v>138</v>
      </c>
      <c r="G126">
        <f>MAX(G2:G120)</f>
        <v>898</v>
      </c>
      <c r="I126">
        <f>MAX(I2:I120)</f>
        <v>712</v>
      </c>
      <c r="V126" s="2">
        <f>MAX(V2:V120)</f>
        <v>0.55000000000000004</v>
      </c>
      <c r="X126" s="2">
        <f>MAX(X2:X120)</f>
        <v>0.51342812006319116</v>
      </c>
    </row>
    <row r="127" spans="1:25" x14ac:dyDescent="0.25">
      <c r="B127" t="s">
        <v>137</v>
      </c>
      <c r="G127">
        <f>MIN(G2:G120)</f>
        <v>472</v>
      </c>
      <c r="I127">
        <f>MIN(I2:I120)</f>
        <v>323</v>
      </c>
      <c r="V127" s="2">
        <f>MIN(V2:V120)</f>
        <v>0.42857142857142855</v>
      </c>
      <c r="X127" s="2">
        <f>MIN(X2:X120)</f>
        <v>0.48403361344537815</v>
      </c>
    </row>
    <row r="128" spans="1:25" x14ac:dyDescent="0.25">
      <c r="B128" t="s">
        <v>145</v>
      </c>
      <c r="G128">
        <f>_xlfn.PERCENTILE.EXC(G2:G120,0.95)</f>
        <v>753.94999999999982</v>
      </c>
      <c r="I128">
        <f>_xlfn.PERCENTILE.EXC(I2:I120,0.95)</f>
        <v>564.29999999999995</v>
      </c>
      <c r="V128" s="2">
        <f>_xlfn.PERCENTILE.EXC(V2:V120,0.95)</f>
        <v>0.53963919139515637</v>
      </c>
      <c r="X128" s="2">
        <f>_xlfn.PERCENTILE.EXC(X2:X120,0.95)</f>
        <v>0.50862812260083856</v>
      </c>
    </row>
    <row r="129" spans="2:24" x14ac:dyDescent="0.25">
      <c r="B129" t="s">
        <v>139</v>
      </c>
      <c r="G129">
        <f>_xlfn.PERCENTILE.EXC(G2:G120,0.05)</f>
        <v>512.04999999999995</v>
      </c>
      <c r="I129">
        <f>_xlfn.PERCENTILE.EXC(I2:I120,0.05)</f>
        <v>343.7</v>
      </c>
      <c r="V129" s="2">
        <f>_xlfn.PERCENTILE.EXC(V2:V120,0.05)</f>
        <v>0.44395145999241559</v>
      </c>
      <c r="X129" s="2">
        <f>_xlfn.PERCENTILE.EXC(X2:X120,0.05)</f>
        <v>0.49224502893442978</v>
      </c>
    </row>
  </sheetData>
  <pageMargins left="0.7" right="0.7" top="0.75" bottom="0.75" header="0.3" footer="0.3"/>
  <pageSetup paperSize="11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'Dropdown sheet - DO NOT EDIT'!$A$2:$A$4</xm:f>
          </x14:formula1>
          <xm:sqref>J2:J120</xm:sqref>
        </x14:dataValidation>
        <x14:dataValidation type="list" allowBlank="1" showInputMessage="1" showErrorMessage="1" xr:uid="{00000000-0002-0000-0100-000001000000}">
          <x14:formula1>
            <xm:f>'Dropdown sheet - DO NOT EDIT'!$D$2:$D$6</xm:f>
          </x14:formula1>
          <xm:sqref>M2:M120</xm:sqref>
        </x14:dataValidation>
        <x14:dataValidation type="list" allowBlank="1" showInputMessage="1" showErrorMessage="1" xr:uid="{00000000-0002-0000-0100-000002000000}">
          <x14:formula1>
            <xm:f>'Dropdown sheet - DO NOT EDIT'!$B$2:$B$4</xm:f>
          </x14:formula1>
          <xm:sqref>P2:P120</xm:sqref>
        </x14:dataValidation>
        <x14:dataValidation type="list" allowBlank="1" showInputMessage="1" showErrorMessage="1" xr:uid="{00000000-0002-0000-0100-000003000000}">
          <x14:formula1>
            <xm:f>'Dropdown sheet - DO NOT EDIT'!$C$2:$C$5</xm:f>
          </x14:formula1>
          <xm:sqref>Q2:Q120</xm:sqref>
        </x14:dataValidation>
        <x14:dataValidation type="list" allowBlank="1" showInputMessage="1" showErrorMessage="1" xr:uid="{00000000-0002-0000-0100-000004000000}">
          <x14:formula1>
            <xm:f>'Dropdown sheet - DO NOT EDIT'!$E$2:$E$4</xm:f>
          </x14:formula1>
          <xm:sqref>R2:R120</xm:sqref>
        </x14:dataValidation>
        <x14:dataValidation type="list" allowBlank="1" showInputMessage="1" showErrorMessage="1" xr:uid="{00000000-0002-0000-0100-000005000000}">
          <x14:formula1>
            <xm:f>'Dropdown sheet - DO NOT EDIT'!$F$2:$F$4</xm:f>
          </x14:formula1>
          <xm:sqref>O111:O120 O30:O35 O37:O40 O42:O45 O48:O50 O52:O109 O2:O27</xm:sqref>
        </x14:dataValidation>
        <x14:dataValidation type="list" allowBlank="1" showInputMessage="1" showErrorMessage="1" xr:uid="{00000000-0002-0000-0100-000006000000}">
          <x14:formula1>
            <xm:f>'Dropdown sheet - DO NOT EDIT'!$F$2:$F$2</xm:f>
          </x14:formula1>
          <xm:sqref>O110 O51 O28:O29 O36 O41 O46:O47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I2" sqref="I2"/>
    </sheetView>
  </sheetViews>
  <sheetFormatPr defaultRowHeight="15" x14ac:dyDescent="0.25"/>
  <cols>
    <col min="1" max="1" width="30.85546875" customWidth="1"/>
    <col min="2" max="2" width="11.5703125" bestFit="1" customWidth="1"/>
    <col min="3" max="3" width="12.5703125" bestFit="1" customWidth="1"/>
    <col min="4" max="4" width="9.140625" customWidth="1"/>
    <col min="5" max="5" width="7.140625" bestFit="1" customWidth="1"/>
    <col min="6" max="6" width="9.7109375" customWidth="1"/>
    <col min="7" max="7" width="5.85546875" bestFit="1" customWidth="1"/>
    <col min="8" max="8" width="8.42578125" bestFit="1" customWidth="1"/>
    <col min="9" max="9" width="11.7109375" bestFit="1" customWidth="1"/>
  </cols>
  <sheetData>
    <row r="1" spans="1:10" x14ac:dyDescent="0.25">
      <c r="A1" s="5" t="s">
        <v>132</v>
      </c>
      <c r="B1" t="s">
        <v>0</v>
      </c>
      <c r="C1" t="s">
        <v>1</v>
      </c>
      <c r="D1" t="s">
        <v>8</v>
      </c>
      <c r="E1" t="s">
        <v>130</v>
      </c>
      <c r="F1" t="s">
        <v>9</v>
      </c>
      <c r="G1" t="s">
        <v>131</v>
      </c>
      <c r="H1" t="s">
        <v>7</v>
      </c>
      <c r="I1" t="s">
        <v>129</v>
      </c>
      <c r="J1" t="s">
        <v>10</v>
      </c>
    </row>
    <row r="2" spans="1:10" x14ac:dyDescent="0.25">
      <c r="A2">
        <v>44</v>
      </c>
      <c r="B2">
        <f>VLOOKUP($A$2,'LOOKUP TABLE - DO NOT EDIT'!$A$2:$I$115,1,FALSE)</f>
        <v>44</v>
      </c>
      <c r="C2" t="str">
        <f>VLOOKUP($A$2,'LOOKUP TABLE - DO NOT EDIT'!$A$2:$I$115,2,FALSE)</f>
        <v>IPN - UPIITA</v>
      </c>
      <c r="D2" s="6">
        <f>VLOOKUP($A$2,'LOOKUP TABLE - DO NOT EDIT'!$A$2:$I$115,3,FALSE)</f>
        <v>53.1</v>
      </c>
      <c r="E2">
        <f>VLOOKUP($A$2,'LOOKUP TABLE - DO NOT EDIT'!$A$2:$I$115,4,FALSE)</f>
        <v>385</v>
      </c>
      <c r="F2" s="6">
        <f>VLOOKUP($A$2,'LOOKUP TABLE - DO NOT EDIT'!$A$2:$I$115,5,FALSE)</f>
        <v>50.21</v>
      </c>
      <c r="G2">
        <f>VLOOKUP($A$2,'LOOKUP TABLE - DO NOT EDIT'!$A$2:$I$115,6,FALSE)</f>
        <v>364</v>
      </c>
      <c r="H2">
        <f>VLOOKUP($A$2,'LOOKUP TABLE - DO NOT EDIT'!$A$2:$I$115,7,FALSE)</f>
        <v>563</v>
      </c>
      <c r="I2">
        <f>VLOOKUP($A$2,'LOOKUP TABLE - DO NOT EDIT'!$A$2:$I$115,8,FALSE)</f>
        <v>725</v>
      </c>
      <c r="J2" t="str">
        <f>VLOOKUP($A$2,'LOOKUP TABLE - DO NOT EDIT'!$A$2:$I$115,9,FALSE)</f>
        <v>HALF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3"/>
  <sheetViews>
    <sheetView topLeftCell="A86" zoomScaleNormal="100" workbookViewId="0">
      <selection activeCell="G107" sqref="G107"/>
    </sheetView>
  </sheetViews>
  <sheetFormatPr defaultRowHeight="15" x14ac:dyDescent="0.25"/>
  <cols>
    <col min="1" max="1" width="8.5703125" bestFit="1" customWidth="1"/>
    <col min="2" max="2" width="7" bestFit="1" customWidth="1"/>
    <col min="3" max="3" width="13.7109375" bestFit="1" customWidth="1"/>
    <col min="4" max="4" width="36.5703125" bestFit="1" customWidth="1"/>
    <col min="5" max="5" width="10.7109375" bestFit="1" customWidth="1"/>
  </cols>
  <sheetData>
    <row r="1" spans="1:7" x14ac:dyDescent="0.25">
      <c r="A1" t="s">
        <v>183</v>
      </c>
      <c r="B1" t="s">
        <v>188</v>
      </c>
      <c r="C1" t="s">
        <v>185</v>
      </c>
      <c r="D1" t="s">
        <v>186</v>
      </c>
      <c r="E1" t="s">
        <v>211</v>
      </c>
      <c r="F1" t="s">
        <v>184</v>
      </c>
    </row>
    <row r="2" spans="1:7" x14ac:dyDescent="0.25">
      <c r="A2" t="s">
        <v>187</v>
      </c>
      <c r="B2" t="s">
        <v>189</v>
      </c>
      <c r="C2">
        <v>74</v>
      </c>
      <c r="D2" t="str">
        <f>VLOOKUP(C2,'Scales Input Table'!$A$2:$I$120,2,FALSE)</f>
        <v>Rochester Institute of Technology</v>
      </c>
      <c r="E2">
        <f>VLOOKUP(C2,'Scales Input Table'!$A$2:$I$120,9,FALSE)</f>
        <v>426</v>
      </c>
      <c r="F2" t="str">
        <f>IF(E2&gt;0,"Yes","No")</f>
        <v>Yes</v>
      </c>
    </row>
    <row r="3" spans="1:7" x14ac:dyDescent="0.25">
      <c r="A3" t="s">
        <v>187</v>
      </c>
      <c r="B3" t="s">
        <v>190</v>
      </c>
      <c r="C3">
        <v>46</v>
      </c>
      <c r="D3" t="str">
        <f>VLOOKUP(C3,'Scales Input Table'!$A$2:$I$120,2,FALSE)</f>
        <v>San Jose State University</v>
      </c>
      <c r="E3">
        <f>VLOOKUP(C3,'Scales Input Table'!$A$2:$I$120,9,FALSE)</f>
        <v>435</v>
      </c>
      <c r="F3" t="str">
        <f t="shared" ref="F3:F66" si="0">IF(E3&gt;0,"Yes","No")</f>
        <v>Yes</v>
      </c>
    </row>
    <row r="4" spans="1:7" x14ac:dyDescent="0.25">
      <c r="A4" t="s">
        <v>187</v>
      </c>
      <c r="B4" t="s">
        <v>192</v>
      </c>
      <c r="C4">
        <v>88</v>
      </c>
      <c r="D4" t="str">
        <f>VLOOKUP(C4,'Scales Input Table'!$A$2:$I$120,2,FALSE)</f>
        <v>The Ohio State University</v>
      </c>
      <c r="E4">
        <f>VLOOKUP(C4,'Scales Input Table'!$A$2:$I$120,9,FALSE)</f>
        <v>441</v>
      </c>
      <c r="F4" t="str">
        <f t="shared" si="0"/>
        <v>Yes</v>
      </c>
    </row>
    <row r="5" spans="1:7" x14ac:dyDescent="0.25">
      <c r="A5" t="s">
        <v>187</v>
      </c>
      <c r="B5" t="s">
        <v>193</v>
      </c>
      <c r="C5">
        <v>5</v>
      </c>
      <c r="D5" t="str">
        <f>VLOOKUP(C5,'Scales Input Table'!$A$2:$I$120,2,FALSE)</f>
        <v>Ecole De Technologie Superieure</v>
      </c>
      <c r="E5">
        <f>VLOOKUP(C5,'Scales Input Table'!$A$2:$I$120,9,FALSE)</f>
        <v>325</v>
      </c>
      <c r="F5" t="str">
        <f t="shared" si="0"/>
        <v>Yes</v>
      </c>
    </row>
    <row r="6" spans="1:7" x14ac:dyDescent="0.25">
      <c r="A6" t="s">
        <v>187</v>
      </c>
      <c r="B6" t="s">
        <v>194</v>
      </c>
      <c r="C6">
        <v>22</v>
      </c>
      <c r="D6" t="e">
        <f>VLOOKUP(C6,'Scales Input Table'!$A$2:$I$120,2,FALSE)</f>
        <v>#N/A</v>
      </c>
      <c r="E6" t="e">
        <f>VLOOKUP(C6,'Scales Input Table'!$A$2:$I$120,9,FALSE)</f>
        <v>#N/A</v>
      </c>
      <c r="F6" t="e">
        <f t="shared" si="0"/>
        <v>#N/A</v>
      </c>
      <c r="G6" t="s">
        <v>212</v>
      </c>
    </row>
    <row r="7" spans="1:7" x14ac:dyDescent="0.25">
      <c r="A7" t="s">
        <v>187</v>
      </c>
      <c r="B7" t="s">
        <v>195</v>
      </c>
      <c r="C7">
        <v>62</v>
      </c>
      <c r="D7" t="str">
        <f>VLOOKUP(C7,'Scales Input Table'!$A$2:$I$120,2,FALSE)</f>
        <v>Univ of Minnesota - Twin Cities</v>
      </c>
      <c r="E7">
        <f>VLOOKUP(C7,'Scales Input Table'!$A$2:$I$120,9,FALSE)</f>
        <v>448</v>
      </c>
      <c r="F7" t="str">
        <f t="shared" si="0"/>
        <v>Yes</v>
      </c>
    </row>
    <row r="8" spans="1:7" x14ac:dyDescent="0.25">
      <c r="A8" t="s">
        <v>187</v>
      </c>
      <c r="B8" t="s">
        <v>196</v>
      </c>
      <c r="C8">
        <v>126</v>
      </c>
      <c r="D8" t="str">
        <f>VLOOKUP(C8,'Scales Input Table'!$A$2:$I$120,2,FALSE)</f>
        <v>Univ of Kansas - Lawrence</v>
      </c>
      <c r="E8">
        <f>VLOOKUP(C8,'Scales Input Table'!$A$2:$I$120,9,FALSE)</f>
        <v>465</v>
      </c>
      <c r="F8" t="str">
        <f t="shared" si="0"/>
        <v>Yes</v>
      </c>
    </row>
    <row r="9" spans="1:7" x14ac:dyDescent="0.25">
      <c r="A9" t="s">
        <v>187</v>
      </c>
      <c r="B9" t="s">
        <v>191</v>
      </c>
      <c r="C9">
        <v>1</v>
      </c>
      <c r="D9" t="str">
        <f>VLOOKUP(C9,'Scales Input Table'!$A$2:$I$120,2,FALSE)</f>
        <v>Universitat Stuttgart</v>
      </c>
      <c r="E9">
        <f>VLOOKUP(C9,'Scales Input Table'!$A$2:$I$120,9,FALSE)</f>
        <v>383</v>
      </c>
      <c r="F9" t="str">
        <f t="shared" si="0"/>
        <v>Yes</v>
      </c>
    </row>
    <row r="10" spans="1:7" x14ac:dyDescent="0.25">
      <c r="A10" t="s">
        <v>187</v>
      </c>
      <c r="B10" t="s">
        <v>197</v>
      </c>
      <c r="C10">
        <v>90</v>
      </c>
      <c r="D10" t="str">
        <f>VLOOKUP(C10,'Scales Input Table'!$A$2:$I$120,2,FALSE)</f>
        <v>Coburg University of Applied Sciences</v>
      </c>
      <c r="E10">
        <f>VLOOKUP(C10,'Scales Input Table'!$A$2:$I$120,9,FALSE)</f>
        <v>401</v>
      </c>
      <c r="F10" t="str">
        <f t="shared" si="0"/>
        <v>Yes</v>
      </c>
    </row>
    <row r="11" spans="1:7" x14ac:dyDescent="0.25">
      <c r="A11" t="s">
        <v>187</v>
      </c>
      <c r="B11" t="s">
        <v>198</v>
      </c>
      <c r="C11">
        <v>8</v>
      </c>
      <c r="D11" t="str">
        <f>VLOOKUP(C11,'Scales Input Table'!$A$2:$I$120,2,FALSE)</f>
        <v>Univ of Wisconsin - Madison</v>
      </c>
      <c r="E11">
        <f>VLOOKUP(C11,'Scales Input Table'!$A$2:$I$120,9,FALSE)</f>
        <v>363</v>
      </c>
      <c r="F11" t="str">
        <f t="shared" si="0"/>
        <v>Yes</v>
      </c>
    </row>
    <row r="12" spans="1:7" x14ac:dyDescent="0.25">
      <c r="A12" t="s">
        <v>187</v>
      </c>
      <c r="B12" t="s">
        <v>199</v>
      </c>
      <c r="C12">
        <v>36</v>
      </c>
      <c r="D12" t="str">
        <f>VLOOKUP(C12,'Scales Input Table'!$A$2:$I$120,2,FALSE)</f>
        <v>Missouri University of Science and Tech</v>
      </c>
      <c r="E12">
        <f>VLOOKUP(C12,'Scales Input Table'!$A$2:$I$120,9,FALSE)</f>
        <v>462</v>
      </c>
      <c r="F12" t="str">
        <f t="shared" si="0"/>
        <v>Yes</v>
      </c>
    </row>
    <row r="13" spans="1:7" x14ac:dyDescent="0.25">
      <c r="A13" t="s">
        <v>187</v>
      </c>
      <c r="B13" t="s">
        <v>200</v>
      </c>
      <c r="C13">
        <v>6</v>
      </c>
      <c r="D13" t="str">
        <f>VLOOKUP(C13,'Scales Input Table'!$A$2:$I$120,2,FALSE)</f>
        <v>Univ of Akron</v>
      </c>
      <c r="E13">
        <f>VLOOKUP(C13,'Scales Input Table'!$A$2:$I$120,9,FALSE)</f>
        <v>373</v>
      </c>
      <c r="F13" t="str">
        <f t="shared" si="0"/>
        <v>Yes</v>
      </c>
    </row>
    <row r="14" spans="1:7" x14ac:dyDescent="0.25">
      <c r="A14" t="s">
        <v>187</v>
      </c>
      <c r="B14" t="s">
        <v>201</v>
      </c>
      <c r="C14">
        <v>54</v>
      </c>
      <c r="D14" t="str">
        <f>VLOOKUP(C14,'Scales Input Table'!$A$2:$I$120,2,FALSE)</f>
        <v>Michigan Tech Univ</v>
      </c>
      <c r="E14">
        <f>VLOOKUP(C14,'Scales Input Table'!$A$2:$I$120,9,FALSE)</f>
        <v>503</v>
      </c>
      <c r="F14" t="str">
        <f t="shared" si="0"/>
        <v>Yes</v>
      </c>
    </row>
    <row r="15" spans="1:7" x14ac:dyDescent="0.25">
      <c r="A15" t="s">
        <v>187</v>
      </c>
      <c r="B15" t="s">
        <v>202</v>
      </c>
      <c r="C15">
        <v>56</v>
      </c>
      <c r="D15" t="str">
        <f>VLOOKUP(C15,'Scales Input Table'!$A$2:$I$120,2,FALSE)</f>
        <v>National Univ of Singapore</v>
      </c>
      <c r="E15">
        <f>VLOOKUP(C15,'Scales Input Table'!$A$2:$I$120,9,FALSE)</f>
        <v>468</v>
      </c>
      <c r="F15" t="str">
        <f t="shared" si="0"/>
        <v>Yes</v>
      </c>
    </row>
    <row r="16" spans="1:7" s="16" customFormat="1" ht="15.75" thickBot="1" x14ac:dyDescent="0.3">
      <c r="A16" s="16" t="s">
        <v>187</v>
      </c>
      <c r="B16" s="16" t="s">
        <v>203</v>
      </c>
      <c r="C16" s="16">
        <v>19</v>
      </c>
      <c r="D16" s="16" t="str">
        <f>VLOOKUP(C16,'Scales Input Table'!$A$2:$I$120,2,FALSE)</f>
        <v>North Carolina State Univ - Raleigh</v>
      </c>
      <c r="E16" s="16">
        <f>VLOOKUP(C16,'Scales Input Table'!$A$2:$I$120,9,FALSE)</f>
        <v>466</v>
      </c>
      <c r="F16" s="16" t="str">
        <f t="shared" si="0"/>
        <v>Yes</v>
      </c>
    </row>
    <row r="17" spans="1:6" x14ac:dyDescent="0.25">
      <c r="A17" t="s">
        <v>204</v>
      </c>
      <c r="B17" t="s">
        <v>189</v>
      </c>
      <c r="C17">
        <v>39</v>
      </c>
      <c r="D17" t="str">
        <f>VLOOKUP(C17,'Scales Input Table'!$A$2:$I$120,2,FALSE)</f>
        <v>Univ of Missouri</v>
      </c>
      <c r="E17">
        <f>VLOOKUP(C17,'Scales Input Table'!$A$2:$I$120,9,FALSE)</f>
        <v>471</v>
      </c>
      <c r="F17" t="str">
        <f t="shared" si="0"/>
        <v>Yes</v>
      </c>
    </row>
    <row r="18" spans="1:6" x14ac:dyDescent="0.25">
      <c r="A18" t="s">
        <v>204</v>
      </c>
      <c r="B18" t="s">
        <v>190</v>
      </c>
      <c r="C18">
        <v>2</v>
      </c>
      <c r="D18" t="str">
        <f>VLOOKUP(C18,'Scales Input Table'!$A$2:$I$120,2,FALSE)</f>
        <v>Graz Technical Univ</v>
      </c>
      <c r="E18">
        <f>VLOOKUP(C18,'Scales Input Table'!$A$2:$I$120,9,FALSE)</f>
        <v>342</v>
      </c>
      <c r="F18" t="str">
        <f t="shared" si="0"/>
        <v>Yes</v>
      </c>
    </row>
    <row r="19" spans="1:6" x14ac:dyDescent="0.25">
      <c r="A19" t="s">
        <v>204</v>
      </c>
      <c r="B19" t="s">
        <v>192</v>
      </c>
      <c r="C19">
        <v>55</v>
      </c>
      <c r="D19" t="str">
        <f>VLOOKUP(C19,'Scales Input Table'!$A$2:$I$120,2,FALSE)</f>
        <v>Rutgers Univ</v>
      </c>
      <c r="E19">
        <f>VLOOKUP(C19,'Scales Input Table'!$A$2:$I$120,9,FALSE)</f>
        <v>368</v>
      </c>
      <c r="F19" t="str">
        <f t="shared" si="0"/>
        <v>Yes</v>
      </c>
    </row>
    <row r="20" spans="1:6" x14ac:dyDescent="0.25">
      <c r="A20" t="s">
        <v>204</v>
      </c>
      <c r="B20" t="s">
        <v>193</v>
      </c>
      <c r="C20">
        <v>92</v>
      </c>
      <c r="D20" t="str">
        <f>VLOOKUP(C20,'Scales Input Table'!$A$2:$I$120,2,FALSE)</f>
        <v>Univ of Victoria</v>
      </c>
      <c r="E20">
        <f>VLOOKUP(C20,'Scales Input Table'!$A$2:$I$120,9,FALSE)</f>
        <v>466</v>
      </c>
      <c r="F20" t="str">
        <f t="shared" si="0"/>
        <v>Yes</v>
      </c>
    </row>
    <row r="21" spans="1:6" x14ac:dyDescent="0.25">
      <c r="A21" t="s">
        <v>204</v>
      </c>
      <c r="B21" t="s">
        <v>194</v>
      </c>
      <c r="C21">
        <v>16</v>
      </c>
      <c r="D21" t="str">
        <f>VLOOKUP(C21,'Scales Input Table'!$A$2:$I$120,2,FALSE)</f>
        <v>Kookmin Univ</v>
      </c>
      <c r="E21">
        <f>VLOOKUP(C21,'Scales Input Table'!$A$2:$I$120,9,FALSE)</f>
        <v>463</v>
      </c>
      <c r="F21" t="str">
        <f t="shared" si="0"/>
        <v>Yes</v>
      </c>
    </row>
    <row r="22" spans="1:6" x14ac:dyDescent="0.25">
      <c r="A22" t="s">
        <v>204</v>
      </c>
      <c r="B22" t="s">
        <v>195</v>
      </c>
      <c r="C22">
        <v>11</v>
      </c>
      <c r="D22" t="str">
        <f>VLOOKUP(C22,'Scales Input Table'!$A$2:$I$120,2,FALSE)</f>
        <v>Michigan State Univ</v>
      </c>
      <c r="E22">
        <f>VLOOKUP(C22,'Scales Input Table'!$A$2:$I$120,9,FALSE)</f>
        <v>427</v>
      </c>
      <c r="F22" t="str">
        <f t="shared" si="0"/>
        <v>Yes</v>
      </c>
    </row>
    <row r="23" spans="1:6" x14ac:dyDescent="0.25">
      <c r="A23" t="s">
        <v>204</v>
      </c>
      <c r="B23" t="s">
        <v>196</v>
      </c>
      <c r="C23">
        <v>14</v>
      </c>
      <c r="D23" t="str">
        <f>VLOOKUP(C23,'Scales Input Table'!$A$2:$I$120,2,FALSE)</f>
        <v>Ecole Polytechnique Montreal</v>
      </c>
      <c r="E23">
        <f>VLOOKUP(C23,'Scales Input Table'!$A$2:$I$120,9,FALSE)</f>
        <v>410</v>
      </c>
      <c r="F23" t="str">
        <f t="shared" si="0"/>
        <v>Yes</v>
      </c>
    </row>
    <row r="24" spans="1:6" x14ac:dyDescent="0.25">
      <c r="A24" t="s">
        <v>204</v>
      </c>
      <c r="B24" t="s">
        <v>191</v>
      </c>
      <c r="C24">
        <v>37</v>
      </c>
      <c r="D24" t="str">
        <f>VLOOKUP(C24,'Scales Input Table'!$A$2:$I$120,2,FALSE)</f>
        <v>Univ of Illinois - Urbana Champaign</v>
      </c>
      <c r="E24">
        <f>VLOOKUP(C24,'Scales Input Table'!$A$2:$I$120,9,FALSE)</f>
        <v>426</v>
      </c>
      <c r="F24" t="str">
        <f t="shared" si="0"/>
        <v>Yes</v>
      </c>
    </row>
    <row r="25" spans="1:6" x14ac:dyDescent="0.25">
      <c r="A25" t="s">
        <v>204</v>
      </c>
      <c r="B25" t="s">
        <v>197</v>
      </c>
      <c r="C25">
        <v>9</v>
      </c>
      <c r="D25" t="str">
        <f>VLOOKUP(C25,'Scales Input Table'!$A$2:$I$120,2,FALSE)</f>
        <v>Univ of Michigan - Ann Arbor</v>
      </c>
      <c r="E25">
        <f>VLOOKUP(C25,'Scales Input Table'!$A$2:$I$120,9,FALSE)</f>
        <v>433</v>
      </c>
      <c r="F25" t="str">
        <f t="shared" si="0"/>
        <v>Yes</v>
      </c>
    </row>
    <row r="26" spans="1:6" x14ac:dyDescent="0.25">
      <c r="A26" t="s">
        <v>204</v>
      </c>
      <c r="B26" t="s">
        <v>198</v>
      </c>
      <c r="C26">
        <v>85</v>
      </c>
      <c r="D26" t="str">
        <f>VLOOKUP(C26,'Scales Input Table'!$A$2:$I$120,2,FALSE)</f>
        <v>Wroclaw University of Technology</v>
      </c>
      <c r="E26">
        <f>VLOOKUP(C26,'Scales Input Table'!$A$2:$I$120,9,FALSE)</f>
        <v>415</v>
      </c>
      <c r="F26" t="str">
        <f t="shared" si="0"/>
        <v>Yes</v>
      </c>
    </row>
    <row r="27" spans="1:6" x14ac:dyDescent="0.25">
      <c r="A27" t="s">
        <v>204</v>
      </c>
      <c r="B27" t="s">
        <v>199</v>
      </c>
      <c r="C27">
        <v>66</v>
      </c>
      <c r="D27" t="str">
        <f>VLOOKUP(C27,'Scales Input Table'!$A$2:$I$120,2,FALSE)</f>
        <v>Univ of Waterloo</v>
      </c>
      <c r="E27">
        <f>VLOOKUP(C27,'Scales Input Table'!$A$2:$I$120,9,FALSE)</f>
        <v>460</v>
      </c>
      <c r="F27" t="str">
        <f t="shared" si="0"/>
        <v>Yes</v>
      </c>
    </row>
    <row r="28" spans="1:6" x14ac:dyDescent="0.25">
      <c r="A28" t="s">
        <v>204</v>
      </c>
      <c r="B28" t="s">
        <v>200</v>
      </c>
      <c r="C28">
        <v>23</v>
      </c>
      <c r="D28" t="str">
        <f>VLOOKUP(C28,'Scales Input Table'!$A$2:$I$120,2,FALSE)</f>
        <v>Rensselaer Polytechnic Inst</v>
      </c>
      <c r="E28">
        <f>VLOOKUP(C28,'Scales Input Table'!$A$2:$I$120,9,FALSE)</f>
        <v>433</v>
      </c>
      <c r="F28" t="str">
        <f t="shared" si="0"/>
        <v>Yes</v>
      </c>
    </row>
    <row r="29" spans="1:6" x14ac:dyDescent="0.25">
      <c r="A29" t="s">
        <v>204</v>
      </c>
      <c r="B29" t="s">
        <v>201</v>
      </c>
      <c r="C29">
        <v>34</v>
      </c>
      <c r="D29" t="str">
        <f>VLOOKUP(C29,'Scales Input Table'!$A$2:$I$120,2,FALSE)</f>
        <v>Univ of Central Florida</v>
      </c>
      <c r="E29">
        <f>VLOOKUP(C29,'Scales Input Table'!$A$2:$I$120,9,FALSE)</f>
        <v>468</v>
      </c>
      <c r="F29" t="str">
        <f t="shared" si="0"/>
        <v>Yes</v>
      </c>
    </row>
    <row r="30" spans="1:6" x14ac:dyDescent="0.25">
      <c r="A30" t="s">
        <v>204</v>
      </c>
      <c r="B30" t="s">
        <v>202</v>
      </c>
      <c r="C30">
        <v>73</v>
      </c>
      <c r="D30" t="str">
        <f>VLOOKUP(C30,'Scales Input Table'!$A$2:$I$120,2,FALSE)</f>
        <v>Louisiana State Univ</v>
      </c>
      <c r="E30">
        <f>VLOOKUP(C30,'Scales Input Table'!$A$2:$I$120,9,FALSE)</f>
        <v>430</v>
      </c>
      <c r="F30" t="str">
        <f t="shared" si="0"/>
        <v>Yes</v>
      </c>
    </row>
    <row r="31" spans="1:6" s="16" customFormat="1" ht="15.75" thickBot="1" x14ac:dyDescent="0.3">
      <c r="A31" s="16" t="s">
        <v>204</v>
      </c>
      <c r="B31" s="16" t="s">
        <v>203</v>
      </c>
      <c r="C31" s="16">
        <v>33</v>
      </c>
      <c r="D31" s="16" t="str">
        <f>VLOOKUP(C31,'Scales Input Table'!$A$2:$I$120,2,FALSE)</f>
        <v>Oregon State Univ</v>
      </c>
      <c r="E31" s="16">
        <f>VLOOKUP(C31,'Scales Input Table'!$A$2:$I$120,9,FALSE)</f>
        <v>323</v>
      </c>
      <c r="F31" s="16" t="str">
        <f t="shared" si="0"/>
        <v>Yes</v>
      </c>
    </row>
    <row r="32" spans="1:6" x14ac:dyDescent="0.25">
      <c r="A32" t="s">
        <v>205</v>
      </c>
      <c r="B32" t="s">
        <v>189</v>
      </c>
      <c r="C32">
        <v>43</v>
      </c>
      <c r="D32" t="str">
        <f>VLOOKUP(C32,'Scales Input Table'!$A$2:$I$120,2,FALSE)</f>
        <v>Minnesota State University - Mankato</v>
      </c>
      <c r="E32">
        <f>VLOOKUP(C32,'Scales Input Table'!$A$2:$I$120,9,FALSE)</f>
        <v>375</v>
      </c>
      <c r="F32" t="str">
        <f t="shared" si="0"/>
        <v>Yes</v>
      </c>
    </row>
    <row r="33" spans="1:7" x14ac:dyDescent="0.25">
      <c r="A33" t="s">
        <v>205</v>
      </c>
      <c r="B33" t="s">
        <v>190</v>
      </c>
      <c r="C33">
        <v>65</v>
      </c>
      <c r="D33" t="str">
        <f>VLOOKUP(C33,'Scales Input Table'!$A$2:$I$120,2,FALSE)</f>
        <v>Lehigh Univ</v>
      </c>
      <c r="E33">
        <f>VLOOKUP(C33,'Scales Input Table'!$A$2:$I$120,9,FALSE)</f>
        <v>333</v>
      </c>
      <c r="F33" t="str">
        <f t="shared" si="0"/>
        <v>Yes</v>
      </c>
    </row>
    <row r="34" spans="1:7" x14ac:dyDescent="0.25">
      <c r="A34" t="s">
        <v>205</v>
      </c>
      <c r="B34" t="s">
        <v>192</v>
      </c>
      <c r="C34">
        <v>10</v>
      </c>
      <c r="D34" t="str">
        <f>VLOOKUP(C34,'Scales Input Table'!$A$2:$I$120,2,FALSE)</f>
        <v>AGH Univ of Science and Technology</v>
      </c>
      <c r="E34">
        <f>VLOOKUP(C34,'Scales Input Table'!$A$2:$I$120,9,FALSE)</f>
        <v>427</v>
      </c>
      <c r="F34" t="str">
        <f t="shared" si="0"/>
        <v>Yes</v>
      </c>
    </row>
    <row r="35" spans="1:7" x14ac:dyDescent="0.25">
      <c r="A35" t="s">
        <v>205</v>
      </c>
      <c r="B35" t="s">
        <v>193</v>
      </c>
      <c r="C35">
        <v>86</v>
      </c>
      <c r="D35" t="str">
        <f>VLOOKUP(C35,'Scales Input Table'!$A$2:$I$120,2,FALSE)</f>
        <v>Wayne State Univ</v>
      </c>
      <c r="E35">
        <f>VLOOKUP(C35,'Scales Input Table'!$A$2:$I$120,9,FALSE)</f>
        <v>435</v>
      </c>
      <c r="F35" t="str">
        <f t="shared" si="0"/>
        <v>Yes</v>
      </c>
    </row>
    <row r="36" spans="1:7" x14ac:dyDescent="0.25">
      <c r="A36" t="s">
        <v>205</v>
      </c>
      <c r="B36" t="s">
        <v>194</v>
      </c>
      <c r="C36">
        <v>40</v>
      </c>
      <c r="D36" t="str">
        <f>VLOOKUP(C36,'Scales Input Table'!$A$2:$I$120,2,FALSE)</f>
        <v>Clemson Univ</v>
      </c>
      <c r="E36">
        <f>VLOOKUP(C36,'Scales Input Table'!$A$2:$I$120,9,FALSE)</f>
        <v>489</v>
      </c>
      <c r="F36" t="str">
        <f t="shared" si="0"/>
        <v>Yes</v>
      </c>
    </row>
    <row r="37" spans="1:7" x14ac:dyDescent="0.25">
      <c r="A37" t="s">
        <v>205</v>
      </c>
      <c r="B37" t="s">
        <v>195</v>
      </c>
      <c r="C37">
        <v>87</v>
      </c>
      <c r="D37" t="e">
        <f>VLOOKUP(C37,'Scales Input Table'!$A$2:$I$120,2,FALSE)</f>
        <v>#N/A</v>
      </c>
      <c r="E37" t="e">
        <f>VLOOKUP(C37,'Scales Input Table'!$A$2:$I$120,9,FALSE)</f>
        <v>#N/A</v>
      </c>
      <c r="F37" t="e">
        <f t="shared" si="0"/>
        <v>#N/A</v>
      </c>
      <c r="G37" t="s">
        <v>212</v>
      </c>
    </row>
    <row r="38" spans="1:7" x14ac:dyDescent="0.25">
      <c r="A38" t="s">
        <v>205</v>
      </c>
      <c r="B38" t="s">
        <v>196</v>
      </c>
      <c r="C38">
        <v>47</v>
      </c>
      <c r="D38" t="str">
        <f>VLOOKUP(C38,'Scales Input Table'!$A$2:$I$120,2,FALSE)</f>
        <v>Ryerson Univ</v>
      </c>
      <c r="E38">
        <f>VLOOKUP(C38,'Scales Input Table'!$A$2:$I$120,9,FALSE)</f>
        <v>452</v>
      </c>
      <c r="F38" t="str">
        <f t="shared" si="0"/>
        <v>Yes</v>
      </c>
    </row>
    <row r="39" spans="1:7" x14ac:dyDescent="0.25">
      <c r="A39" t="s">
        <v>205</v>
      </c>
      <c r="B39" t="s">
        <v>191</v>
      </c>
      <c r="C39">
        <v>105</v>
      </c>
      <c r="D39" t="str">
        <f>VLOOKUP(C39,'Scales Input Table'!$A$2:$I$120,2,FALSE)</f>
        <v>Worcester Polytechnic Inst</v>
      </c>
      <c r="E39">
        <f>VLOOKUP(C39,'Scales Input Table'!$A$2:$I$120,9,FALSE)</f>
        <v>416</v>
      </c>
      <c r="F39" t="str">
        <f t="shared" si="0"/>
        <v>Yes</v>
      </c>
    </row>
    <row r="40" spans="1:7" x14ac:dyDescent="0.25">
      <c r="A40" t="s">
        <v>205</v>
      </c>
      <c r="B40" t="s">
        <v>197</v>
      </c>
      <c r="C40">
        <v>52</v>
      </c>
      <c r="D40" t="str">
        <f>VLOOKUP(C40,'Scales Input Table'!$A$2:$I$120,2,FALSE)</f>
        <v>Western Michigan Univ</v>
      </c>
      <c r="E40">
        <f>VLOOKUP(C40,'Scales Input Table'!$A$2:$I$120,9,FALSE)</f>
        <v>474</v>
      </c>
      <c r="F40" t="str">
        <f t="shared" si="0"/>
        <v>Yes</v>
      </c>
    </row>
    <row r="41" spans="1:7" x14ac:dyDescent="0.25">
      <c r="A41" t="s">
        <v>205</v>
      </c>
      <c r="B41" t="s">
        <v>198</v>
      </c>
      <c r="C41">
        <v>132</v>
      </c>
      <c r="D41" t="str">
        <f>VLOOKUP(C41,'Scales Input Table'!$A$2:$I$120,2,FALSE)</f>
        <v>Univ of Pittsburgh - Pittsburgh</v>
      </c>
      <c r="E41">
        <f>VLOOKUP(C41,'Scales Input Table'!$A$2:$I$120,9,FALSE)</f>
        <v>469</v>
      </c>
      <c r="F41" t="str">
        <f t="shared" si="0"/>
        <v>Yes</v>
      </c>
    </row>
    <row r="42" spans="1:7" x14ac:dyDescent="0.25">
      <c r="A42" t="s">
        <v>205</v>
      </c>
      <c r="B42" t="s">
        <v>199</v>
      </c>
      <c r="C42">
        <v>30</v>
      </c>
      <c r="D42" t="str">
        <f>VLOOKUP(C42,'Scales Input Table'!$A$2:$I$120,2,FALSE)</f>
        <v>Univ of New Hampshire</v>
      </c>
      <c r="E42">
        <f>VLOOKUP(C42,'Scales Input Table'!$A$2:$I$120,9,FALSE)</f>
        <v>444</v>
      </c>
      <c r="F42" t="str">
        <f t="shared" si="0"/>
        <v>Yes</v>
      </c>
    </row>
    <row r="43" spans="1:7" x14ac:dyDescent="0.25">
      <c r="A43" t="s">
        <v>205</v>
      </c>
      <c r="B43" t="s">
        <v>200</v>
      </c>
      <c r="C43">
        <v>123</v>
      </c>
      <c r="D43" t="str">
        <f>VLOOKUP(C43,'Scales Input Table'!$A$2:$I$120,2,FALSE)</f>
        <v>Villanova Univ</v>
      </c>
      <c r="E43">
        <f>VLOOKUP(C43,'Scales Input Table'!$A$2:$I$120,9,FALSE)</f>
        <v>425</v>
      </c>
      <c r="F43" t="str">
        <f t="shared" si="0"/>
        <v>Yes</v>
      </c>
    </row>
    <row r="44" spans="1:7" x14ac:dyDescent="0.25">
      <c r="A44" t="s">
        <v>205</v>
      </c>
      <c r="B44" t="s">
        <v>201</v>
      </c>
      <c r="C44">
        <v>69</v>
      </c>
      <c r="D44" t="str">
        <f>VLOOKUP(C44,'Scales Input Table'!$A$2:$I$120,2,FALSE)</f>
        <v>Univ of Connecticut</v>
      </c>
      <c r="E44">
        <f>VLOOKUP(C44,'Scales Input Table'!$A$2:$I$120,9,FALSE)</f>
        <v>451</v>
      </c>
      <c r="F44" t="str">
        <f t="shared" si="0"/>
        <v>Yes</v>
      </c>
    </row>
    <row r="45" spans="1:7" x14ac:dyDescent="0.25">
      <c r="A45" t="s">
        <v>205</v>
      </c>
      <c r="B45" t="s">
        <v>202</v>
      </c>
      <c r="C45">
        <v>59</v>
      </c>
      <c r="D45" t="e">
        <f>VLOOKUP(C45,'Scales Input Table'!$A$2:$I$120,2,FALSE)</f>
        <v>#N/A</v>
      </c>
      <c r="E45" t="e">
        <f>VLOOKUP(C45,'Scales Input Table'!$A$2:$I$120,9,FALSE)</f>
        <v>#N/A</v>
      </c>
      <c r="F45" t="e">
        <f t="shared" si="0"/>
        <v>#N/A</v>
      </c>
      <c r="G45" t="s">
        <v>212</v>
      </c>
    </row>
    <row r="46" spans="1:7" s="16" customFormat="1" ht="15.75" thickBot="1" x14ac:dyDescent="0.3">
      <c r="A46" s="16" t="s">
        <v>205</v>
      </c>
      <c r="B46" s="16" t="s">
        <v>203</v>
      </c>
      <c r="C46" s="16">
        <v>12</v>
      </c>
      <c r="D46" s="16" t="str">
        <f>VLOOKUP(C46,'Scales Input Table'!$A$2:$I$120,2,FALSE)</f>
        <v>Purdue Univ - W Lafayette</v>
      </c>
      <c r="E46" s="16">
        <f>VLOOKUP(C46,'Scales Input Table'!$A$2:$I$120,9,FALSE)</f>
        <v>455</v>
      </c>
      <c r="F46" s="16" t="str">
        <f t="shared" si="0"/>
        <v>Yes</v>
      </c>
    </row>
    <row r="47" spans="1:7" x14ac:dyDescent="0.25">
      <c r="A47" t="s">
        <v>206</v>
      </c>
      <c r="B47" t="s">
        <v>189</v>
      </c>
      <c r="C47">
        <v>91</v>
      </c>
      <c r="D47" t="str">
        <f>VLOOKUP(C47,'Scales Input Table'!$A$2:$I$120,2,FALSE)</f>
        <v>Georgia Institute of Technology</v>
      </c>
      <c r="E47">
        <f>VLOOKUP(C47,'Scales Input Table'!$A$2:$I$120,9,FALSE)</f>
        <v>479</v>
      </c>
      <c r="F47" t="str">
        <f t="shared" si="0"/>
        <v>Yes</v>
      </c>
    </row>
    <row r="48" spans="1:7" x14ac:dyDescent="0.25">
      <c r="A48" t="s">
        <v>206</v>
      </c>
      <c r="B48" t="s">
        <v>190</v>
      </c>
      <c r="C48">
        <v>80</v>
      </c>
      <c r="D48" t="str">
        <f>VLOOKUP(C48,'Scales Input Table'!$A$2:$I$120,2,FALSE)</f>
        <v>Virginia Tech</v>
      </c>
      <c r="E48">
        <f>VLOOKUP(C48,'Scales Input Table'!$A$2:$I$120,9,FALSE)</f>
        <v>377</v>
      </c>
      <c r="F48" t="str">
        <f t="shared" si="0"/>
        <v>Yes</v>
      </c>
    </row>
    <row r="49" spans="1:7" x14ac:dyDescent="0.25">
      <c r="A49" t="s">
        <v>206</v>
      </c>
      <c r="B49" t="s">
        <v>192</v>
      </c>
      <c r="C49">
        <v>93</v>
      </c>
      <c r="D49" t="str">
        <f>VLOOKUP(C49,'Scales Input Table'!$A$2:$I$120,2,FALSE)</f>
        <v>Universite Du Quebec a Trois-Rivieres</v>
      </c>
      <c r="E49">
        <f>VLOOKUP(C49,'Scales Input Table'!$A$2:$I$120,9,FALSE)</f>
        <v>465</v>
      </c>
      <c r="F49" t="str">
        <f t="shared" si="0"/>
        <v>Yes</v>
      </c>
    </row>
    <row r="50" spans="1:7" x14ac:dyDescent="0.25">
      <c r="A50" t="s">
        <v>206</v>
      </c>
      <c r="B50" t="s">
        <v>193</v>
      </c>
      <c r="C50">
        <v>115</v>
      </c>
      <c r="D50" t="str">
        <f>VLOOKUP(C50,'Scales Input Table'!$A$2:$I$120,2,FALSE)</f>
        <v>Univ of British Columbia</v>
      </c>
      <c r="E50">
        <f>VLOOKUP(C50,'Scales Input Table'!$A$2:$I$120,9,FALSE)</f>
        <v>451</v>
      </c>
      <c r="F50" t="str">
        <f t="shared" si="0"/>
        <v>Yes</v>
      </c>
    </row>
    <row r="51" spans="1:7" x14ac:dyDescent="0.25">
      <c r="A51" t="s">
        <v>206</v>
      </c>
      <c r="B51" t="s">
        <v>194</v>
      </c>
      <c r="C51">
        <v>72</v>
      </c>
      <c r="D51" t="str">
        <f>VLOOKUP(C51,'Scales Input Table'!$A$2:$I$120,2,FALSE)</f>
        <v>Florida International Univ</v>
      </c>
      <c r="E51">
        <f>VLOOKUP(C51,'Scales Input Table'!$A$2:$I$120,9,FALSE)</f>
        <v>475</v>
      </c>
      <c r="F51" t="str">
        <f t="shared" si="0"/>
        <v>Yes</v>
      </c>
    </row>
    <row r="52" spans="1:7" x14ac:dyDescent="0.25">
      <c r="A52" t="s">
        <v>206</v>
      </c>
      <c r="B52" t="s">
        <v>195</v>
      </c>
      <c r="C52">
        <v>125</v>
      </c>
      <c r="D52" t="str">
        <f>VLOOKUP(C52,'Scales Input Table'!$A$2:$I$120,2,FALSE)</f>
        <v>South Dakota State Univ</v>
      </c>
      <c r="E52">
        <f>VLOOKUP(C52,'Scales Input Table'!$A$2:$I$120,9,FALSE)</f>
        <v>467</v>
      </c>
      <c r="F52" t="str">
        <f t="shared" si="0"/>
        <v>Yes</v>
      </c>
    </row>
    <row r="53" spans="1:7" x14ac:dyDescent="0.25">
      <c r="A53" t="s">
        <v>206</v>
      </c>
      <c r="B53" t="s">
        <v>196</v>
      </c>
      <c r="C53">
        <v>83</v>
      </c>
      <c r="D53" t="str">
        <f>VLOOKUP(C53,'Scales Input Table'!$A$2:$I$120,2,FALSE)</f>
        <v>Univ of British Columbia - Okanagan</v>
      </c>
      <c r="E53">
        <f>VLOOKUP(C53,'Scales Input Table'!$A$2:$I$120,9,FALSE)</f>
        <v>565</v>
      </c>
      <c r="F53" t="str">
        <f t="shared" si="0"/>
        <v>Yes</v>
      </c>
    </row>
    <row r="54" spans="1:7" x14ac:dyDescent="0.25">
      <c r="A54" t="s">
        <v>206</v>
      </c>
      <c r="B54" t="s">
        <v>191</v>
      </c>
      <c r="C54">
        <v>48</v>
      </c>
      <c r="D54" t="str">
        <f>VLOOKUP(C54,'Scales Input Table'!$A$2:$I$120,2,FALSE)</f>
        <v>Vaughn College of Aeronautics</v>
      </c>
      <c r="E54">
        <f>VLOOKUP(C54,'Scales Input Table'!$A$2:$I$120,9,FALSE)</f>
        <v>0</v>
      </c>
      <c r="F54" t="str">
        <f t="shared" si="0"/>
        <v>No</v>
      </c>
      <c r="G54" t="s">
        <v>212</v>
      </c>
    </row>
    <row r="55" spans="1:7" x14ac:dyDescent="0.25">
      <c r="A55" t="s">
        <v>206</v>
      </c>
      <c r="B55" t="s">
        <v>197</v>
      </c>
      <c r="C55">
        <v>129</v>
      </c>
      <c r="D55" t="e">
        <f>VLOOKUP(C55,'Scales Input Table'!$A$2:$I$120,2,FALSE)</f>
        <v>#N/A</v>
      </c>
      <c r="E55" t="e">
        <f>VLOOKUP(C55,'Scales Input Table'!$A$2:$I$120,9,FALSE)</f>
        <v>#N/A</v>
      </c>
      <c r="F55" t="e">
        <f t="shared" si="0"/>
        <v>#N/A</v>
      </c>
      <c r="G55" t="s">
        <v>212</v>
      </c>
    </row>
    <row r="56" spans="1:7" x14ac:dyDescent="0.25">
      <c r="A56" t="s">
        <v>206</v>
      </c>
      <c r="B56" t="s">
        <v>198</v>
      </c>
      <c r="C56">
        <v>21</v>
      </c>
      <c r="D56" t="str">
        <f>VLOOKUP(C56,'Scales Input Table'!$A$2:$I$120,2,FALSE)</f>
        <v>Univ of Florida</v>
      </c>
      <c r="E56">
        <f>VLOOKUP(C56,'Scales Input Table'!$A$2:$I$120,9,FALSE)</f>
        <v>474</v>
      </c>
      <c r="F56" t="str">
        <f t="shared" si="0"/>
        <v>Yes</v>
      </c>
    </row>
    <row r="57" spans="1:7" x14ac:dyDescent="0.25">
      <c r="A57" t="s">
        <v>206</v>
      </c>
      <c r="B57" t="s">
        <v>199</v>
      </c>
      <c r="C57">
        <v>99</v>
      </c>
      <c r="D57" t="str">
        <f>VLOOKUP(C57,'Scales Input Table'!$A$2:$I$120,2,FALSE)</f>
        <v>York College of Pennsylvania</v>
      </c>
      <c r="E57">
        <f>VLOOKUP(C57,'Scales Input Table'!$A$2:$I$120,9,FALSE)</f>
        <v>403</v>
      </c>
      <c r="F57" t="str">
        <f t="shared" si="0"/>
        <v>Yes</v>
      </c>
    </row>
    <row r="58" spans="1:7" x14ac:dyDescent="0.25">
      <c r="A58" t="s">
        <v>206</v>
      </c>
      <c r="B58" t="s">
        <v>200</v>
      </c>
      <c r="C58">
        <v>49</v>
      </c>
      <c r="D58" t="str">
        <f>VLOOKUP(C58,'Scales Input Table'!$A$2:$I$120,2,FALSE)</f>
        <v>Univ of Louisiana - Lafayette</v>
      </c>
      <c r="E58">
        <f>VLOOKUP(C58,'Scales Input Table'!$A$2:$I$120,9,FALSE)</f>
        <v>533</v>
      </c>
      <c r="F58" t="str">
        <f t="shared" si="0"/>
        <v>Yes</v>
      </c>
    </row>
    <row r="59" spans="1:7" x14ac:dyDescent="0.25">
      <c r="A59" t="s">
        <v>206</v>
      </c>
      <c r="B59" t="s">
        <v>201</v>
      </c>
      <c r="C59">
        <v>19</v>
      </c>
      <c r="D59" t="str">
        <f>VLOOKUP(C59,'Scales Input Table'!$A$2:$I$120,2,FALSE)</f>
        <v>North Carolina State Univ - Raleigh</v>
      </c>
      <c r="E59">
        <f>VLOOKUP(C59,'Scales Input Table'!$A$2:$I$120,9,FALSE)</f>
        <v>466</v>
      </c>
      <c r="F59" t="str">
        <f t="shared" si="0"/>
        <v>Yes</v>
      </c>
    </row>
    <row r="60" spans="1:7" x14ac:dyDescent="0.25">
      <c r="A60" t="s">
        <v>206</v>
      </c>
      <c r="B60" t="s">
        <v>202</v>
      </c>
      <c r="C60">
        <v>102</v>
      </c>
      <c r="D60" t="str">
        <f>VLOOKUP(C60,'Scales Input Table'!$A$2:$I$120,2,FALSE)</f>
        <v>Lawrence Technological Univ</v>
      </c>
      <c r="E60">
        <f>VLOOKUP(C60,'Scales Input Table'!$A$2:$I$120,9,FALSE)</f>
        <v>549</v>
      </c>
      <c r="F60" t="str">
        <f t="shared" si="0"/>
        <v>Yes</v>
      </c>
    </row>
    <row r="61" spans="1:7" s="16" customFormat="1" ht="15.75" thickBot="1" x14ac:dyDescent="0.3">
      <c r="A61" s="16" t="s">
        <v>206</v>
      </c>
      <c r="B61" s="16" t="s">
        <v>203</v>
      </c>
      <c r="C61" s="16">
        <v>124</v>
      </c>
      <c r="D61" s="16" t="str">
        <f>VLOOKUP(C61,'Scales Input Table'!$A$2:$I$120,2,FALSE)</f>
        <v>Univ of Nebraska - Lincoln</v>
      </c>
      <c r="E61" s="16">
        <f>VLOOKUP(C61,'Scales Input Table'!$A$2:$I$120,9,FALSE)</f>
        <v>464</v>
      </c>
      <c r="F61" s="16" t="str">
        <f t="shared" si="0"/>
        <v>Yes</v>
      </c>
    </row>
    <row r="62" spans="1:7" x14ac:dyDescent="0.25">
      <c r="A62" t="s">
        <v>207</v>
      </c>
      <c r="B62" t="s">
        <v>189</v>
      </c>
      <c r="C62">
        <v>26</v>
      </c>
      <c r="D62" t="str">
        <f>VLOOKUP(C62,'Scales Input Table'!$A$2:$I$120,2,FALSE)</f>
        <v>Purdue Univ - Northwest</v>
      </c>
      <c r="E62">
        <f>VLOOKUP(C62,'Scales Input Table'!$A$2:$I$120,9,FALSE)</f>
        <v>456</v>
      </c>
      <c r="F62" t="str">
        <f t="shared" si="0"/>
        <v>Yes</v>
      </c>
    </row>
    <row r="63" spans="1:7" x14ac:dyDescent="0.25">
      <c r="A63" t="s">
        <v>207</v>
      </c>
      <c r="B63" t="s">
        <v>190</v>
      </c>
      <c r="C63">
        <v>38</v>
      </c>
      <c r="D63" t="str">
        <f>VLOOKUP(C63,'Scales Input Table'!$A$2:$I$120,2,FALSE)</f>
        <v>Brown Univ</v>
      </c>
      <c r="E63">
        <f>VLOOKUP(C63,'Scales Input Table'!$A$2:$I$120,9,FALSE)</f>
        <v>438</v>
      </c>
      <c r="F63" t="str">
        <f t="shared" si="0"/>
        <v>Yes</v>
      </c>
    </row>
    <row r="64" spans="1:7" x14ac:dyDescent="0.25">
      <c r="A64" t="s">
        <v>207</v>
      </c>
      <c r="B64" t="s">
        <v>192</v>
      </c>
      <c r="C64">
        <v>118</v>
      </c>
      <c r="D64" t="str">
        <f>VLOOKUP(C64,'Scales Input Table'!$A$2:$I$120,2,FALSE)</f>
        <v>Cooper Union</v>
      </c>
      <c r="E64">
        <f>VLOOKUP(C64,'Scales Input Table'!$A$2:$I$120,9,FALSE)</f>
        <v>470</v>
      </c>
      <c r="F64" t="str">
        <f t="shared" si="0"/>
        <v>Yes</v>
      </c>
    </row>
    <row r="65" spans="1:7" x14ac:dyDescent="0.25">
      <c r="A65" t="s">
        <v>207</v>
      </c>
      <c r="B65" t="s">
        <v>193</v>
      </c>
      <c r="C65">
        <v>15</v>
      </c>
      <c r="D65" t="e">
        <f>VLOOKUP(C65,'Scales Input Table'!$A$2:$I$120,2,FALSE)</f>
        <v>#N/A</v>
      </c>
      <c r="E65" t="e">
        <f>VLOOKUP(C65,'Scales Input Table'!$A$2:$I$120,9,FALSE)</f>
        <v>#N/A</v>
      </c>
      <c r="F65" t="e">
        <f t="shared" si="0"/>
        <v>#N/A</v>
      </c>
      <c r="G65" t="s">
        <v>212</v>
      </c>
    </row>
    <row r="66" spans="1:7" x14ac:dyDescent="0.25">
      <c r="A66" t="s">
        <v>207</v>
      </c>
      <c r="B66" t="s">
        <v>194</v>
      </c>
      <c r="C66">
        <v>81</v>
      </c>
      <c r="D66" t="str">
        <f>VLOOKUP(C66,'Scales Input Table'!$A$2:$I$120,2,FALSE)</f>
        <v>Northwestern Univ</v>
      </c>
      <c r="E66">
        <f>VLOOKUP(C66,'Scales Input Table'!$A$2:$I$120,9,FALSE)</f>
        <v>458</v>
      </c>
      <c r="F66" t="str">
        <f t="shared" si="0"/>
        <v>Yes</v>
      </c>
    </row>
    <row r="67" spans="1:7" x14ac:dyDescent="0.25">
      <c r="A67" t="s">
        <v>207</v>
      </c>
      <c r="B67" t="s">
        <v>195</v>
      </c>
      <c r="C67">
        <v>51</v>
      </c>
      <c r="D67" t="str">
        <f>VLOOKUP(C67,'Scales Input Table'!$A$2:$I$120,2,FALSE)</f>
        <v>Universidad Simon Bolivar</v>
      </c>
      <c r="E67">
        <f>VLOOKUP(C67,'Scales Input Table'!$A$2:$I$120,9,FALSE)</f>
        <v>499</v>
      </c>
      <c r="F67" t="str">
        <f t="shared" ref="F67:F121" si="1">IF(E67&gt;0,"Yes","No")</f>
        <v>Yes</v>
      </c>
    </row>
    <row r="68" spans="1:7" x14ac:dyDescent="0.25">
      <c r="A68" t="s">
        <v>207</v>
      </c>
      <c r="B68" t="s">
        <v>196</v>
      </c>
      <c r="C68">
        <v>24</v>
      </c>
      <c r="D68" t="str">
        <f>VLOOKUP(C68,'Scales Input Table'!$A$2:$I$120,2,FALSE)</f>
        <v>Univ of Toledo</v>
      </c>
      <c r="E68">
        <f>VLOOKUP(C68,'Scales Input Table'!$A$2:$I$120,9,FALSE)</f>
        <v>386</v>
      </c>
      <c r="F68" t="str">
        <f t="shared" si="1"/>
        <v>Yes</v>
      </c>
    </row>
    <row r="69" spans="1:7" x14ac:dyDescent="0.25">
      <c r="A69" t="s">
        <v>207</v>
      </c>
      <c r="B69" t="s">
        <v>191</v>
      </c>
      <c r="C69">
        <v>79</v>
      </c>
      <c r="D69" t="str">
        <f>VLOOKUP(C69,'Scales Input Table'!$A$2:$I$120,2,FALSE)</f>
        <v>Georgia Southern Univ</v>
      </c>
      <c r="E69">
        <f>VLOOKUP(C69,'Scales Input Table'!$A$2:$I$120,9,FALSE)</f>
        <v>437</v>
      </c>
      <c r="F69" t="str">
        <f t="shared" si="1"/>
        <v>Yes</v>
      </c>
    </row>
    <row r="70" spans="1:7" x14ac:dyDescent="0.25">
      <c r="A70" t="s">
        <v>207</v>
      </c>
      <c r="B70" t="s">
        <v>197</v>
      </c>
      <c r="C70">
        <v>7</v>
      </c>
      <c r="D70" t="str">
        <f>VLOOKUP(C70,'Scales Input Table'!$A$2:$I$120,2,FALSE)</f>
        <v>Carleton Univ</v>
      </c>
      <c r="E70">
        <f>VLOOKUP(C70,'Scales Input Table'!$A$2:$I$120,9,FALSE)</f>
        <v>358</v>
      </c>
      <c r="F70" t="str">
        <f t="shared" si="1"/>
        <v>Yes</v>
      </c>
    </row>
    <row r="71" spans="1:7" x14ac:dyDescent="0.25">
      <c r="A71" t="s">
        <v>207</v>
      </c>
      <c r="B71" t="s">
        <v>198</v>
      </c>
      <c r="C71">
        <v>139</v>
      </c>
      <c r="D71" t="str">
        <f>VLOOKUP(C71,'Scales Input Table'!$A$2:$I$120,2,FALSE)</f>
        <v>CEFET-MG</v>
      </c>
      <c r="E71">
        <f>VLOOKUP(C71,'Scales Input Table'!$A$2:$I$120,9,FALSE)</f>
        <v>461</v>
      </c>
      <c r="F71" t="str">
        <f t="shared" si="1"/>
        <v>Yes</v>
      </c>
    </row>
    <row r="72" spans="1:7" x14ac:dyDescent="0.25">
      <c r="A72" t="s">
        <v>207</v>
      </c>
      <c r="B72" t="s">
        <v>199</v>
      </c>
      <c r="C72">
        <v>50</v>
      </c>
      <c r="D72" t="str">
        <f>VLOOKUP(C72,'Scales Input Table'!$A$2:$I$120,2,FALSE)</f>
        <v>Univ of Michigan - Dearborn</v>
      </c>
      <c r="E72">
        <f>VLOOKUP(C72,'Scales Input Table'!$A$2:$I$120,9,FALSE)</f>
        <v>445</v>
      </c>
      <c r="F72" t="str">
        <f t="shared" si="1"/>
        <v>Yes</v>
      </c>
    </row>
    <row r="73" spans="1:7" x14ac:dyDescent="0.25">
      <c r="A73" t="s">
        <v>207</v>
      </c>
      <c r="B73" t="s">
        <v>200</v>
      </c>
      <c r="C73">
        <v>17</v>
      </c>
      <c r="D73" t="str">
        <f>VLOOKUP(C73,'Scales Input Table'!$A$2:$I$120,2,FALSE)</f>
        <v>Bradley Univ</v>
      </c>
      <c r="E73">
        <f>VLOOKUP(C73,'Scales Input Table'!$A$2:$I$120,9,FALSE)</f>
        <v>511</v>
      </c>
      <c r="F73" t="str">
        <f t="shared" si="1"/>
        <v>Yes</v>
      </c>
    </row>
    <row r="74" spans="1:7" x14ac:dyDescent="0.25">
      <c r="A74" t="s">
        <v>207</v>
      </c>
      <c r="B74" t="s">
        <v>201</v>
      </c>
      <c r="C74">
        <v>61</v>
      </c>
      <c r="D74" t="str">
        <f>VLOOKUP(C74,'Scales Input Table'!$A$2:$I$120,2,FALSE)</f>
        <v>Queen's Univ</v>
      </c>
      <c r="E74">
        <f>VLOOKUP(C74,'Scales Input Table'!$A$2:$I$120,9,FALSE)</f>
        <v>0</v>
      </c>
      <c r="F74" t="str">
        <f t="shared" si="1"/>
        <v>No</v>
      </c>
      <c r="G74" t="s">
        <v>212</v>
      </c>
    </row>
    <row r="75" spans="1:7" x14ac:dyDescent="0.25">
      <c r="A75" t="s">
        <v>207</v>
      </c>
      <c r="B75" t="s">
        <v>202</v>
      </c>
      <c r="C75">
        <v>110</v>
      </c>
      <c r="D75" t="str">
        <f>VLOOKUP(C75,'Scales Input Table'!$A$2:$I$120,2,FALSE)</f>
        <v>US Naval Academy</v>
      </c>
      <c r="E75">
        <f>VLOOKUP(C75,'Scales Input Table'!$A$2:$I$120,9,FALSE)</f>
        <v>465</v>
      </c>
      <c r="F75" t="str">
        <f t="shared" si="1"/>
        <v>Yes</v>
      </c>
    </row>
    <row r="76" spans="1:7" s="16" customFormat="1" ht="15.75" thickBot="1" x14ac:dyDescent="0.3">
      <c r="A76" s="16" t="s">
        <v>207</v>
      </c>
      <c r="B76" s="16" t="s">
        <v>203</v>
      </c>
      <c r="C76" s="16">
        <v>106</v>
      </c>
      <c r="D76" s="16" t="str">
        <f>VLOOKUP(C76,'Scales Input Table'!$A$2:$I$120,2,FALSE)</f>
        <v>Kettering Univ</v>
      </c>
      <c r="E76" s="16">
        <f>VLOOKUP(C76,'Scales Input Table'!$A$2:$I$120,9,FALSE)</f>
        <v>343</v>
      </c>
      <c r="F76" s="16" t="str">
        <f t="shared" si="1"/>
        <v>Yes</v>
      </c>
    </row>
    <row r="77" spans="1:7" x14ac:dyDescent="0.25">
      <c r="A77" t="s">
        <v>208</v>
      </c>
      <c r="B77" t="s">
        <v>189</v>
      </c>
      <c r="C77">
        <v>89</v>
      </c>
      <c r="D77" t="str">
        <f>VLOOKUP(C77,'Scales Input Table'!$A$2:$I$120,2,FALSE)</f>
        <v>Tennessee Tech Univ</v>
      </c>
      <c r="E77">
        <f>VLOOKUP(C77,'Scales Input Table'!$A$2:$I$120,9,FALSE)</f>
        <v>345</v>
      </c>
      <c r="F77" t="str">
        <f t="shared" si="1"/>
        <v>Yes</v>
      </c>
    </row>
    <row r="78" spans="1:7" x14ac:dyDescent="0.25">
      <c r="A78" t="s">
        <v>208</v>
      </c>
      <c r="B78" t="s">
        <v>190</v>
      </c>
      <c r="C78">
        <v>103</v>
      </c>
      <c r="D78" t="str">
        <f>VLOOKUP(C78,'Scales Input Table'!$A$2:$I$120,2,FALSE)</f>
        <v>Texas Tech Univ</v>
      </c>
      <c r="E78">
        <f>VLOOKUP(C78,'Scales Input Table'!$A$2:$I$120,9,FALSE)</f>
        <v>431</v>
      </c>
      <c r="F78" t="str">
        <f t="shared" si="1"/>
        <v>Yes</v>
      </c>
    </row>
    <row r="79" spans="1:7" x14ac:dyDescent="0.25">
      <c r="A79" t="s">
        <v>208</v>
      </c>
      <c r="B79" t="s">
        <v>192</v>
      </c>
      <c r="C79">
        <v>111</v>
      </c>
      <c r="D79" t="str">
        <f>VLOOKUP(C79,'Scales Input Table'!$A$2:$I$120,2,FALSE)</f>
        <v>Lakehead Univ</v>
      </c>
      <c r="E79">
        <f>VLOOKUP(C79,'Scales Input Table'!$A$2:$I$120,9,FALSE)</f>
        <v>545</v>
      </c>
      <c r="F79" t="str">
        <f t="shared" si="1"/>
        <v>Yes</v>
      </c>
    </row>
    <row r="80" spans="1:7" x14ac:dyDescent="0.25">
      <c r="A80" t="s">
        <v>208</v>
      </c>
      <c r="B80" t="s">
        <v>193</v>
      </c>
      <c r="C80">
        <v>96</v>
      </c>
      <c r="D80" t="e">
        <f>VLOOKUP(C80,'Scales Input Table'!$A$2:$I$120,2,FALSE)</f>
        <v>#N/A</v>
      </c>
      <c r="E80" t="e">
        <f>VLOOKUP(C80,'Scales Input Table'!$A$2:$I$120,9,FALSE)</f>
        <v>#N/A</v>
      </c>
      <c r="F80" t="e">
        <f t="shared" si="1"/>
        <v>#N/A</v>
      </c>
      <c r="G80" t="s">
        <v>212</v>
      </c>
    </row>
    <row r="81" spans="1:7" x14ac:dyDescent="0.25">
      <c r="A81" t="s">
        <v>208</v>
      </c>
      <c r="B81" t="s">
        <v>194</v>
      </c>
      <c r="C81">
        <v>70</v>
      </c>
      <c r="D81" t="str">
        <f>VLOOKUP(C81,'Scales Input Table'!$A$2:$I$120,2,FALSE)</f>
        <v>Penn State Univ - Harrisburg</v>
      </c>
      <c r="E81">
        <f>VLOOKUP(C81,'Scales Input Table'!$A$2:$I$120,9,FALSE)</f>
        <v>536</v>
      </c>
      <c r="F81" t="str">
        <f t="shared" si="1"/>
        <v>Yes</v>
      </c>
    </row>
    <row r="82" spans="1:7" x14ac:dyDescent="0.25">
      <c r="A82" t="s">
        <v>208</v>
      </c>
      <c r="B82" t="s">
        <v>195</v>
      </c>
      <c r="C82">
        <v>108</v>
      </c>
      <c r="D82" t="str">
        <f>VLOOKUP(C82,'Scales Input Table'!$A$2:$I$120,2,FALSE)</f>
        <v>Colorado Mesa University</v>
      </c>
      <c r="E82">
        <f>VLOOKUP(C82,'Scales Input Table'!$A$2:$I$120,9,FALSE)</f>
        <v>498</v>
      </c>
      <c r="F82" t="str">
        <f t="shared" si="1"/>
        <v>Yes</v>
      </c>
    </row>
    <row r="83" spans="1:7" x14ac:dyDescent="0.25">
      <c r="A83" t="s">
        <v>208</v>
      </c>
      <c r="B83" t="s">
        <v>196</v>
      </c>
      <c r="C83">
        <v>114</v>
      </c>
      <c r="D83" t="str">
        <f>VLOOKUP(C83,'Scales Input Table'!$A$2:$I$120,2,FALSE)</f>
        <v>Binghamton Univ</v>
      </c>
      <c r="E83">
        <f>VLOOKUP(C83,'Scales Input Table'!$A$2:$I$120,9,FALSE)</f>
        <v>661</v>
      </c>
      <c r="F83" t="str">
        <f t="shared" si="1"/>
        <v>Yes</v>
      </c>
    </row>
    <row r="84" spans="1:7" x14ac:dyDescent="0.25">
      <c r="A84" t="s">
        <v>208</v>
      </c>
      <c r="B84" t="s">
        <v>191</v>
      </c>
      <c r="C84">
        <v>41</v>
      </c>
      <c r="D84" t="str">
        <f>VLOOKUP(C84,'Scales Input Table'!$A$2:$I$120,2,FALSE)</f>
        <v>Grand Valley State Univ</v>
      </c>
      <c r="E84">
        <f>VLOOKUP(C84,'Scales Input Table'!$A$2:$I$120,9,FALSE)</f>
        <v>547</v>
      </c>
      <c r="F84" t="str">
        <f t="shared" si="1"/>
        <v>Yes</v>
      </c>
    </row>
    <row r="85" spans="1:7" x14ac:dyDescent="0.25">
      <c r="A85" t="s">
        <v>208</v>
      </c>
      <c r="B85" t="s">
        <v>197</v>
      </c>
      <c r="C85">
        <v>29</v>
      </c>
      <c r="D85" t="str">
        <f>VLOOKUP(C85,'Scales Input Table'!$A$2:$I$120,2,FALSE)</f>
        <v>Univ of Cincinnati</v>
      </c>
      <c r="E85">
        <f>VLOOKUP(C85,'Scales Input Table'!$A$2:$I$120,9,FALSE)</f>
        <v>421</v>
      </c>
      <c r="F85" t="str">
        <f t="shared" si="1"/>
        <v>Yes</v>
      </c>
    </row>
    <row r="86" spans="1:7" x14ac:dyDescent="0.25">
      <c r="A86" t="s">
        <v>208</v>
      </c>
      <c r="B86" t="s">
        <v>198</v>
      </c>
      <c r="C86">
        <v>112</v>
      </c>
      <c r="D86" t="str">
        <f>VLOOKUP(C86,'Scales Input Table'!$A$2:$I$120,2,FALSE)</f>
        <v>Alabama A &amp; M Univ</v>
      </c>
      <c r="E86">
        <f>VLOOKUP(C86,'Scales Input Table'!$A$2:$I$120,9,FALSE)</f>
        <v>0</v>
      </c>
      <c r="F86" t="str">
        <f t="shared" si="1"/>
        <v>No</v>
      </c>
      <c r="G86" t="s">
        <v>213</v>
      </c>
    </row>
    <row r="87" spans="1:7" x14ac:dyDescent="0.25">
      <c r="A87" t="s">
        <v>208</v>
      </c>
      <c r="B87" t="s">
        <v>199</v>
      </c>
      <c r="C87">
        <v>58</v>
      </c>
      <c r="D87" t="str">
        <f>VLOOKUP(C87,'Scales Input Table'!$A$2:$I$120,2,FALSE)</f>
        <v>Kennesaw State University</v>
      </c>
      <c r="E87">
        <f>VLOOKUP(C87,'Scales Input Table'!$A$2:$I$120,9,FALSE)</f>
        <v>390</v>
      </c>
      <c r="F87" t="str">
        <f t="shared" si="1"/>
        <v>Yes</v>
      </c>
    </row>
    <row r="88" spans="1:7" x14ac:dyDescent="0.25">
      <c r="A88" t="s">
        <v>208</v>
      </c>
      <c r="B88" t="s">
        <v>200</v>
      </c>
      <c r="C88">
        <v>67</v>
      </c>
      <c r="D88" t="str">
        <f>VLOOKUP(C88,'Scales Input Table'!$A$2:$I$120,2,FALSE)</f>
        <v>Univ of Guelph</v>
      </c>
      <c r="E88">
        <f>VLOOKUP(C88,'Scales Input Table'!$A$2:$I$120,9,FALSE)</f>
        <v>449</v>
      </c>
      <c r="F88" t="str">
        <f t="shared" si="1"/>
        <v>Yes</v>
      </c>
    </row>
    <row r="89" spans="1:7" x14ac:dyDescent="0.25">
      <c r="A89" t="s">
        <v>208</v>
      </c>
      <c r="B89" t="s">
        <v>201</v>
      </c>
      <c r="C89">
        <v>42</v>
      </c>
      <c r="D89" t="str">
        <f>VLOOKUP(C89,'Scales Input Table'!$A$2:$I$120,2,FALSE)</f>
        <v>Univ of Kentucky</v>
      </c>
      <c r="E89">
        <f>VLOOKUP(C89,'Scales Input Table'!$A$2:$I$120,9,FALSE)</f>
        <v>524</v>
      </c>
      <c r="F89" t="str">
        <f t="shared" si="1"/>
        <v>Yes</v>
      </c>
    </row>
    <row r="90" spans="1:7" x14ac:dyDescent="0.25">
      <c r="A90" t="s">
        <v>208</v>
      </c>
      <c r="B90" t="s">
        <v>202</v>
      </c>
      <c r="C90">
        <v>113</v>
      </c>
      <c r="D90" t="str">
        <f>VLOOKUP(C90,'Scales Input Table'!$A$2:$I$120,2,FALSE)</f>
        <v>Dalhousie Univ</v>
      </c>
      <c r="E90">
        <f>VLOOKUP(C90,'Scales Input Table'!$A$2:$I$120,9,FALSE)</f>
        <v>370</v>
      </c>
      <c r="F90" t="str">
        <f t="shared" si="1"/>
        <v>Yes</v>
      </c>
    </row>
    <row r="91" spans="1:7" s="16" customFormat="1" ht="15.75" thickBot="1" x14ac:dyDescent="0.3">
      <c r="A91" s="16" t="s">
        <v>208</v>
      </c>
      <c r="B91" s="16" t="s">
        <v>203</v>
      </c>
      <c r="C91" s="16">
        <v>101</v>
      </c>
      <c r="D91" s="16" t="str">
        <f>VLOOKUP(C91,'Scales Input Table'!$A$2:$I$120,2,FALSE)</f>
        <v>Mississippi State Univ</v>
      </c>
      <c r="E91" s="16">
        <f>VLOOKUP(C91,'Scales Input Table'!$A$2:$I$120,9,FALSE)</f>
        <v>463</v>
      </c>
      <c r="F91" s="16" t="str">
        <f t="shared" si="1"/>
        <v>Yes</v>
      </c>
    </row>
    <row r="92" spans="1:7" x14ac:dyDescent="0.25">
      <c r="A92" t="s">
        <v>209</v>
      </c>
      <c r="B92" t="s">
        <v>189</v>
      </c>
      <c r="C92">
        <v>82</v>
      </c>
      <c r="D92" t="str">
        <f>VLOOKUP(C92,'Scales Input Table'!$A$2:$I$120,2,FALSE)</f>
        <v>Univ of North Florida</v>
      </c>
      <c r="E92">
        <f>VLOOKUP(C92,'Scales Input Table'!$A$2:$I$120,9,FALSE)</f>
        <v>449</v>
      </c>
      <c r="F92" t="str">
        <f t="shared" si="1"/>
        <v>Yes</v>
      </c>
    </row>
    <row r="93" spans="1:7" x14ac:dyDescent="0.25">
      <c r="A93" t="s">
        <v>209</v>
      </c>
      <c r="B93" t="s">
        <v>190</v>
      </c>
      <c r="C93">
        <v>122</v>
      </c>
      <c r="D93" t="str">
        <f>VLOOKUP(C93,'Scales Input Table'!$A$2:$I$120,2,FALSE)</f>
        <v>Florida Atlantic Univ</v>
      </c>
      <c r="E93">
        <f>VLOOKUP(C93,'Scales Input Table'!$A$2:$I$120,9,FALSE)</f>
        <v>491</v>
      </c>
      <c r="F93" t="str">
        <f t="shared" si="1"/>
        <v>Yes</v>
      </c>
    </row>
    <row r="94" spans="1:7" x14ac:dyDescent="0.25">
      <c r="A94" t="s">
        <v>209</v>
      </c>
      <c r="B94" t="s">
        <v>192</v>
      </c>
      <c r="C94">
        <v>63</v>
      </c>
      <c r="D94" t="str">
        <f>VLOOKUP(C94,'Scales Input Table'!$A$2:$I$120,2,FALSE)</f>
        <v>Washington Univ - St Louis</v>
      </c>
      <c r="E94">
        <f>VLOOKUP(C94,'Scales Input Table'!$A$2:$I$120,9,FALSE)</f>
        <v>430</v>
      </c>
      <c r="F94" t="str">
        <f t="shared" si="1"/>
        <v>Yes</v>
      </c>
    </row>
    <row r="95" spans="1:7" x14ac:dyDescent="0.25">
      <c r="A95" t="s">
        <v>209</v>
      </c>
      <c r="B95" t="s">
        <v>193</v>
      </c>
      <c r="C95">
        <v>117</v>
      </c>
      <c r="D95" t="str">
        <f>VLOOKUP(C95,'Scales Input Table'!$A$2:$I$120,2,FALSE)</f>
        <v>Columbia Univ</v>
      </c>
      <c r="E95">
        <f>VLOOKUP(C95,'Scales Input Table'!$A$2:$I$120,9,FALSE)</f>
        <v>500</v>
      </c>
      <c r="F95" t="str">
        <f t="shared" si="1"/>
        <v>Yes</v>
      </c>
    </row>
    <row r="96" spans="1:7" x14ac:dyDescent="0.25">
      <c r="A96" t="s">
        <v>209</v>
      </c>
      <c r="B96" t="s">
        <v>194</v>
      </c>
      <c r="C96">
        <v>84</v>
      </c>
      <c r="D96" t="str">
        <f>VLOOKUP(C96,'Scales Input Table'!$A$2:$I$120,2,FALSE)</f>
        <v>Univ of Toronto</v>
      </c>
      <c r="E96">
        <f>VLOOKUP(C96,'Scales Input Table'!$A$2:$I$120,9,FALSE)</f>
        <v>364</v>
      </c>
      <c r="F96" t="str">
        <f t="shared" si="1"/>
        <v>Yes</v>
      </c>
    </row>
    <row r="97" spans="1:7" x14ac:dyDescent="0.25">
      <c r="A97" t="s">
        <v>209</v>
      </c>
      <c r="B97" t="s">
        <v>195</v>
      </c>
      <c r="C97">
        <v>20</v>
      </c>
      <c r="D97" t="str">
        <f>VLOOKUP(C97,'Scales Input Table'!$A$2:$I$120,2,FALSE)</f>
        <v>Florida Inst of Tech</v>
      </c>
      <c r="E97">
        <f>VLOOKUP(C97,'Scales Input Table'!$A$2:$I$120,9,FALSE)</f>
        <v>536</v>
      </c>
      <c r="F97" t="str">
        <f t="shared" si="1"/>
        <v>Yes</v>
      </c>
    </row>
    <row r="98" spans="1:7" x14ac:dyDescent="0.25">
      <c r="A98" t="s">
        <v>209</v>
      </c>
      <c r="B98" t="s">
        <v>196</v>
      </c>
      <c r="C98">
        <v>10</v>
      </c>
      <c r="D98" t="str">
        <f>VLOOKUP(C98,'Scales Input Table'!$A$2:$I$120,2,FALSE)</f>
        <v>AGH Univ of Science and Technology</v>
      </c>
      <c r="E98">
        <f>VLOOKUP(C98,'Scales Input Table'!$A$2:$I$120,9,FALSE)</f>
        <v>427</v>
      </c>
      <c r="F98" t="str">
        <f t="shared" si="1"/>
        <v>Yes</v>
      </c>
    </row>
    <row r="99" spans="1:7" x14ac:dyDescent="0.25">
      <c r="A99" t="s">
        <v>209</v>
      </c>
      <c r="B99" t="s">
        <v>191</v>
      </c>
      <c r="C99">
        <v>94</v>
      </c>
      <c r="D99" t="str">
        <f>VLOOKUP(C99,'Scales Input Table'!$A$2:$I$120,2,FALSE)</f>
        <v>Saginaw Valley State Univ</v>
      </c>
      <c r="E99">
        <f>VLOOKUP(C99,'Scales Input Table'!$A$2:$I$120,9,FALSE)</f>
        <v>451</v>
      </c>
      <c r="F99" t="str">
        <f t="shared" si="1"/>
        <v>Yes</v>
      </c>
    </row>
    <row r="100" spans="1:7" x14ac:dyDescent="0.25">
      <c r="A100" t="s">
        <v>209</v>
      </c>
      <c r="B100" t="s">
        <v>197</v>
      </c>
      <c r="C100">
        <v>68</v>
      </c>
      <c r="D100" t="str">
        <f>VLOOKUP(C100,'Scales Input Table'!$A$2:$I$120,2,FALSE)</f>
        <v>Penn State Univ - University Park</v>
      </c>
      <c r="E100">
        <f>VLOOKUP(C100,'Scales Input Table'!$A$2:$I$120,9,FALSE)</f>
        <v>411</v>
      </c>
      <c r="F100" t="str">
        <f t="shared" si="1"/>
        <v>Yes</v>
      </c>
    </row>
    <row r="101" spans="1:7" x14ac:dyDescent="0.25">
      <c r="A101" t="s">
        <v>209</v>
      </c>
      <c r="B101" t="s">
        <v>198</v>
      </c>
      <c r="C101">
        <v>77</v>
      </c>
      <c r="D101" t="str">
        <f>VLOOKUP(C101,'Scales Input Table'!$A$2:$I$120,2,FALSE)</f>
        <v>Oakland University</v>
      </c>
      <c r="E101">
        <f>VLOOKUP(C101,'Scales Input Table'!$A$2:$I$120,9,FALSE)</f>
        <v>473</v>
      </c>
      <c r="F101" t="str">
        <f t="shared" si="1"/>
        <v>Yes</v>
      </c>
    </row>
    <row r="102" spans="1:7" x14ac:dyDescent="0.25">
      <c r="A102" t="s">
        <v>209</v>
      </c>
      <c r="B102" t="s">
        <v>199</v>
      </c>
      <c r="C102">
        <v>18</v>
      </c>
      <c r="D102" t="str">
        <f>VLOOKUP(C102,'Scales Input Table'!$A$2:$I$120,2,FALSE)</f>
        <v>Univ of Alabama - Tuscaloosa</v>
      </c>
      <c r="E102">
        <f>VLOOKUP(C102,'Scales Input Table'!$A$2:$I$120,9,FALSE)</f>
        <v>445</v>
      </c>
      <c r="F102" t="str">
        <f t="shared" si="1"/>
        <v>Yes</v>
      </c>
    </row>
    <row r="103" spans="1:7" x14ac:dyDescent="0.25">
      <c r="A103" t="s">
        <v>209</v>
      </c>
      <c r="B103" t="s">
        <v>200</v>
      </c>
      <c r="C103">
        <v>104</v>
      </c>
      <c r="D103" t="str">
        <f>VLOOKUP(C103,'Scales Input Table'!$A$2:$I$120,2,FALSE)</f>
        <v>South Dakota School of Mines &amp; Tech</v>
      </c>
      <c r="E103">
        <f>VLOOKUP(C103,'Scales Input Table'!$A$2:$I$120,9,FALSE)</f>
        <v>469</v>
      </c>
      <c r="F103" t="str">
        <f t="shared" si="1"/>
        <v>Yes</v>
      </c>
    </row>
    <row r="104" spans="1:7" x14ac:dyDescent="0.25">
      <c r="A104" t="s">
        <v>209</v>
      </c>
      <c r="B104" t="s">
        <v>201</v>
      </c>
      <c r="C104">
        <v>64</v>
      </c>
      <c r="D104" t="str">
        <f>VLOOKUP(C104,'Scales Input Table'!$A$2:$I$120,2,FALSE)</f>
        <v>Univ of Maryland - College Park</v>
      </c>
      <c r="E104">
        <f>VLOOKUP(C104,'Scales Input Table'!$A$2:$I$120,9,FALSE)</f>
        <v>471</v>
      </c>
      <c r="F104" t="str">
        <f t="shared" si="1"/>
        <v>Yes</v>
      </c>
    </row>
    <row r="105" spans="1:7" x14ac:dyDescent="0.25">
      <c r="A105" t="s">
        <v>209</v>
      </c>
      <c r="B105" t="s">
        <v>202</v>
      </c>
      <c r="C105">
        <v>95</v>
      </c>
      <c r="D105" t="str">
        <f>VLOOKUP(C105,'Scales Input Table'!$A$2:$I$120,2,FALSE)</f>
        <v>Univ of Louisville</v>
      </c>
      <c r="E105">
        <f>VLOOKUP(C105,'Scales Input Table'!$A$2:$I$120,9,FALSE)</f>
        <v>0</v>
      </c>
      <c r="F105" t="str">
        <f t="shared" si="1"/>
        <v>No</v>
      </c>
      <c r="G105" t="s">
        <v>212</v>
      </c>
    </row>
    <row r="106" spans="1:7" s="16" customFormat="1" ht="15.75" thickBot="1" x14ac:dyDescent="0.3">
      <c r="A106" s="16" t="s">
        <v>209</v>
      </c>
      <c r="B106" s="16" t="s">
        <v>203</v>
      </c>
      <c r="C106" s="16">
        <v>109</v>
      </c>
      <c r="D106" s="16" t="str">
        <f>VLOOKUP(C106,'Scales Input Table'!$A$2:$I$120,2,FALSE)</f>
        <v>US Air Force Academy</v>
      </c>
      <c r="E106" s="16">
        <f>VLOOKUP(C106,'Scales Input Table'!$A$2:$I$120,9,FALSE)</f>
        <v>464</v>
      </c>
      <c r="F106" s="16" t="str">
        <f t="shared" si="1"/>
        <v>Yes</v>
      </c>
    </row>
    <row r="107" spans="1:7" x14ac:dyDescent="0.25">
      <c r="A107" t="s">
        <v>210</v>
      </c>
      <c r="B107" t="s">
        <v>189</v>
      </c>
      <c r="C107">
        <v>120</v>
      </c>
      <c r="D107" t="str">
        <f>VLOOKUP(C107,'Scales Input Table'!$A$2:$I$120,2,FALSE)</f>
        <v>Universidad Autonoma Estado Mexico</v>
      </c>
      <c r="E107">
        <f>VLOOKUP(C107,'Scales Input Table'!$A$2:$I$120,9,FALSE)</f>
        <v>0</v>
      </c>
      <c r="F107" t="str">
        <f t="shared" si="1"/>
        <v>No</v>
      </c>
    </row>
    <row r="108" spans="1:7" x14ac:dyDescent="0.25">
      <c r="A108" t="s">
        <v>210</v>
      </c>
      <c r="B108" t="s">
        <v>190</v>
      </c>
      <c r="C108">
        <v>98</v>
      </c>
      <c r="D108" t="str">
        <f>VLOOKUP(C108,'Scales Input Table'!$A$2:$I$120,2,FALSE)</f>
        <v>Universidad Metropolitana</v>
      </c>
      <c r="E108">
        <f>VLOOKUP(C108,'Scales Input Table'!$A$2:$I$120,9,FALSE)</f>
        <v>561</v>
      </c>
      <c r="F108" t="str">
        <f t="shared" si="1"/>
        <v>Yes</v>
      </c>
    </row>
    <row r="109" spans="1:7" x14ac:dyDescent="0.25">
      <c r="A109" t="s">
        <v>210</v>
      </c>
      <c r="B109" t="s">
        <v>192</v>
      </c>
      <c r="C109">
        <v>131</v>
      </c>
      <c r="D109" t="str">
        <f>VLOOKUP(C109,'Scales Input Table'!$A$2:$I$120,2,FALSE)</f>
        <v>Polytechnic Univ of Puerto Rico</v>
      </c>
      <c r="E109">
        <f>VLOOKUP(C109,'Scales Input Table'!$A$2:$I$120,9,FALSE)</f>
        <v>712</v>
      </c>
      <c r="F109" t="str">
        <f t="shared" si="1"/>
        <v>Yes</v>
      </c>
    </row>
    <row r="110" spans="1:7" x14ac:dyDescent="0.25">
      <c r="A110" t="s">
        <v>210</v>
      </c>
      <c r="B110" t="s">
        <v>193</v>
      </c>
      <c r="C110">
        <v>100</v>
      </c>
      <c r="D110" t="str">
        <f>VLOOKUP(C110,'Scales Input Table'!$A$2:$I$120,2,FALSE)</f>
        <v>Clarkson University</v>
      </c>
      <c r="E110">
        <f>VLOOKUP(C110,'Scales Input Table'!$A$2:$I$120,9,FALSE)</f>
        <v>483</v>
      </c>
      <c r="F110" t="str">
        <f t="shared" si="1"/>
        <v>Yes</v>
      </c>
    </row>
    <row r="111" spans="1:7" x14ac:dyDescent="0.25">
      <c r="A111" t="s">
        <v>210</v>
      </c>
      <c r="B111" t="s">
        <v>194</v>
      </c>
      <c r="C111">
        <v>35</v>
      </c>
      <c r="D111" t="str">
        <f>VLOOKUP(C111,'Scales Input Table'!$A$2:$I$120,2,FALSE)</f>
        <v>Kansas State Univ</v>
      </c>
      <c r="E111">
        <f>VLOOKUP(C111,'Scales Input Table'!$A$2:$I$120,9,FALSE)</f>
        <v>549</v>
      </c>
      <c r="F111" t="str">
        <f t="shared" si="1"/>
        <v>Yes</v>
      </c>
    </row>
    <row r="112" spans="1:7" x14ac:dyDescent="0.25">
      <c r="A112" t="s">
        <v>210</v>
      </c>
      <c r="B112" t="s">
        <v>195</v>
      </c>
      <c r="C112">
        <v>78</v>
      </c>
      <c r="D112" t="str">
        <f>VLOOKUP(C112,'Scales Input Table'!$A$2:$I$120,2,FALSE)</f>
        <v>Temple Univ</v>
      </c>
      <c r="E112">
        <f>VLOOKUP(C112,'Scales Input Table'!$A$2:$I$120,9,FALSE)</f>
        <v>452</v>
      </c>
      <c r="F112" t="str">
        <f t="shared" si="1"/>
        <v>Yes</v>
      </c>
    </row>
    <row r="113" spans="1:7" x14ac:dyDescent="0.25">
      <c r="A113" t="s">
        <v>210</v>
      </c>
      <c r="B113" t="s">
        <v>196</v>
      </c>
      <c r="C113">
        <v>97</v>
      </c>
      <c r="D113" t="str">
        <f>VLOOKUP(C113,'Scales Input Table'!$A$2:$I$120,2,FALSE)</f>
        <v>Washington State Univ</v>
      </c>
      <c r="E113">
        <f>VLOOKUP(C113,'Scales Input Table'!$A$2:$I$120,9,FALSE)</f>
        <v>555</v>
      </c>
      <c r="F113" t="str">
        <f t="shared" si="1"/>
        <v>Yes</v>
      </c>
    </row>
    <row r="114" spans="1:7" x14ac:dyDescent="0.25">
      <c r="A114" t="s">
        <v>210</v>
      </c>
      <c r="B114" t="s">
        <v>191</v>
      </c>
      <c r="C114">
        <v>75</v>
      </c>
      <c r="D114" t="str">
        <f>VLOOKUP(C114,'Scales Input Table'!$A$2:$I$120,2,FALSE)</f>
        <v>Old Dominion Univ</v>
      </c>
      <c r="E114">
        <f>VLOOKUP(C114,'Scales Input Table'!$A$2:$I$120,9,FALSE)</f>
        <v>491</v>
      </c>
      <c r="F114" t="str">
        <f t="shared" si="1"/>
        <v>Yes</v>
      </c>
    </row>
    <row r="115" spans="1:7" x14ac:dyDescent="0.25">
      <c r="A115" t="s">
        <v>210</v>
      </c>
      <c r="B115" t="s">
        <v>197</v>
      </c>
      <c r="C115">
        <v>116</v>
      </c>
      <c r="D115" t="str">
        <f>VLOOKUP(C115,'Scales Input Table'!$A$2:$I$120,2,FALSE)</f>
        <v>West Virginia Univ</v>
      </c>
      <c r="E115">
        <f>VLOOKUP(C115,'Scales Input Table'!$A$2:$I$120,9,FALSE)</f>
        <v>0</v>
      </c>
      <c r="F115" t="str">
        <f t="shared" si="1"/>
        <v>No</v>
      </c>
      <c r="G115" t="s">
        <v>212</v>
      </c>
    </row>
    <row r="116" spans="1:7" x14ac:dyDescent="0.25">
      <c r="A116" t="s">
        <v>210</v>
      </c>
      <c r="B116" t="s">
        <v>198</v>
      </c>
      <c r="C116">
        <v>71</v>
      </c>
      <c r="D116" t="str">
        <f>VLOOKUP(C116,'Scales Input Table'!$A$2:$I$120,2,FALSE)</f>
        <v>Univ of Puerto Rico-Mayaquez</v>
      </c>
      <c r="E116">
        <f>VLOOKUP(C116,'Scales Input Table'!$A$2:$I$120,9,FALSE)</f>
        <v>482</v>
      </c>
      <c r="F116" t="str">
        <f t="shared" si="1"/>
        <v>Yes</v>
      </c>
    </row>
    <row r="117" spans="1:7" x14ac:dyDescent="0.25">
      <c r="A117" t="s">
        <v>210</v>
      </c>
      <c r="B117" t="s">
        <v>199</v>
      </c>
      <c r="C117">
        <v>53</v>
      </c>
      <c r="D117" t="e">
        <f>VLOOKUP(C117,'Scales Input Table'!$A$2:$I$120,2,FALSE)</f>
        <v>#N/A</v>
      </c>
      <c r="E117" t="e">
        <f>VLOOKUP(C117,'Scales Input Table'!$A$2:$I$120,9,FALSE)</f>
        <v>#N/A</v>
      </c>
      <c r="F117" t="e">
        <f t="shared" si="1"/>
        <v>#N/A</v>
      </c>
      <c r="G117" t="s">
        <v>212</v>
      </c>
    </row>
    <row r="118" spans="1:7" x14ac:dyDescent="0.25">
      <c r="A118" t="s">
        <v>210</v>
      </c>
      <c r="B118" t="s">
        <v>200</v>
      </c>
      <c r="C118">
        <v>76</v>
      </c>
      <c r="D118" t="str">
        <f>VLOOKUP(C118,'Scales Input Table'!$A$2:$I$120,2,FALSE)</f>
        <v>Hope College</v>
      </c>
      <c r="E118">
        <f>VLOOKUP(C118,'Scales Input Table'!$A$2:$I$120,9,FALSE)</f>
        <v>599</v>
      </c>
      <c r="F118" t="str">
        <f t="shared" si="1"/>
        <v>Yes</v>
      </c>
    </row>
    <row r="119" spans="1:7" x14ac:dyDescent="0.25">
      <c r="A119" t="s">
        <v>210</v>
      </c>
      <c r="B119" t="s">
        <v>201</v>
      </c>
      <c r="C119">
        <v>44</v>
      </c>
      <c r="D119" t="str">
        <f>VLOOKUP(C119,'Scales Input Table'!$A$2:$I$120,2,FALSE)</f>
        <v>IPN - UPIITA</v>
      </c>
      <c r="E119">
        <f>VLOOKUP(C119,'Scales Input Table'!$A$2:$I$120,9,FALSE)</f>
        <v>563</v>
      </c>
      <c r="F119" t="str">
        <f t="shared" si="1"/>
        <v>Yes</v>
      </c>
    </row>
    <row r="120" spans="1:7" x14ac:dyDescent="0.25">
      <c r="A120" t="s">
        <v>210</v>
      </c>
      <c r="B120" t="s">
        <v>202</v>
      </c>
      <c r="C120">
        <v>25</v>
      </c>
      <c r="D120" t="str">
        <f>VLOOKUP(C120,'Scales Input Table'!$A$2:$I$120,2,FALSE)</f>
        <v>Florida A&amp;M Univ/Florida State Univ</v>
      </c>
      <c r="E120">
        <f>VLOOKUP(C120,'Scales Input Table'!$A$2:$I$120,9,FALSE)</f>
        <v>0</v>
      </c>
      <c r="F120" t="str">
        <f t="shared" si="1"/>
        <v>No</v>
      </c>
      <c r="G120" t="s">
        <v>212</v>
      </c>
    </row>
    <row r="121" spans="1:7" s="16" customFormat="1" ht="15.75" thickBot="1" x14ac:dyDescent="0.3">
      <c r="A121" s="16" t="s">
        <v>210</v>
      </c>
      <c r="B121" s="16" t="s">
        <v>203</v>
      </c>
      <c r="C121" s="16">
        <v>32</v>
      </c>
      <c r="D121" s="16" t="str">
        <f>VLOOKUP(C121,'Scales Input Table'!$A$2:$I$120,2,FALSE)</f>
        <v>Pellissippi State Community College</v>
      </c>
      <c r="E121" s="16">
        <f>VLOOKUP(C121,'Scales Input Table'!$A$2:$I$120,9,FALSE)</f>
        <v>578</v>
      </c>
      <c r="F121" s="16" t="str">
        <f t="shared" si="1"/>
        <v>Yes</v>
      </c>
    </row>
    <row r="123" spans="1:7" x14ac:dyDescent="0.25">
      <c r="G123">
        <f>COUNTA(G2:G121)</f>
        <v>13</v>
      </c>
    </row>
  </sheetData>
  <conditionalFormatting sqref="F2:F121">
    <cfRule type="containsText" dxfId="6" priority="1" operator="containsText" text="N/A">
      <formula>NOT(ISERROR(SEARCH("N/A",F2)))</formula>
    </cfRule>
    <cfRule type="containsText" dxfId="5" priority="2" operator="containsText" text="Yes">
      <formula>NOT(ISERROR(SEARCH("Yes",F2)))</formula>
    </cfRule>
    <cfRule type="containsText" dxfId="4" priority="3" operator="containsText" text="No">
      <formula>NOT(ISERROR(SEARCH("No",F2)))</formula>
    </cfRule>
  </conditionalFormatting>
  <pageMargins left="0.7" right="0.7" top="0.75" bottom="0.75" header="0.3" footer="0.3"/>
  <pageSetup paperSize="11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B5" sqref="B5"/>
    </sheetView>
  </sheetViews>
  <sheetFormatPr defaultRowHeight="15" x14ac:dyDescent="0.25"/>
  <sheetData>
    <row r="1" spans="1:6" x14ac:dyDescent="0.25">
      <c r="A1" t="s">
        <v>111</v>
      </c>
      <c r="B1" t="s">
        <v>19</v>
      </c>
      <c r="C1" t="s">
        <v>115</v>
      </c>
      <c r="D1" t="s">
        <v>11</v>
      </c>
      <c r="E1" t="s">
        <v>120</v>
      </c>
      <c r="F1" t="s">
        <v>21</v>
      </c>
    </row>
    <row r="2" spans="1:6" x14ac:dyDescent="0.25">
      <c r="A2" t="s">
        <v>112</v>
      </c>
      <c r="B2" t="s">
        <v>13</v>
      </c>
      <c r="C2" t="s">
        <v>116</v>
      </c>
      <c r="D2">
        <v>1</v>
      </c>
      <c r="E2" t="s">
        <v>121</v>
      </c>
      <c r="F2" t="s">
        <v>123</v>
      </c>
    </row>
    <row r="3" spans="1:6" x14ac:dyDescent="0.25">
      <c r="A3" t="s">
        <v>113</v>
      </c>
      <c r="B3" t="s">
        <v>14</v>
      </c>
      <c r="C3" t="s">
        <v>117</v>
      </c>
      <c r="D3">
        <v>2</v>
      </c>
      <c r="E3" t="s">
        <v>122</v>
      </c>
      <c r="F3" t="s">
        <v>125</v>
      </c>
    </row>
    <row r="4" spans="1:6" x14ac:dyDescent="0.25">
      <c r="A4" t="s">
        <v>114</v>
      </c>
      <c r="B4" t="s">
        <v>133</v>
      </c>
      <c r="C4" t="s">
        <v>126</v>
      </c>
      <c r="D4">
        <v>3</v>
      </c>
      <c r="E4" t="s">
        <v>127</v>
      </c>
      <c r="F4" t="s">
        <v>124</v>
      </c>
    </row>
    <row r="5" spans="1:6" x14ac:dyDescent="0.25">
      <c r="C5" t="s">
        <v>118</v>
      </c>
      <c r="D5">
        <v>4</v>
      </c>
    </row>
    <row r="6" spans="1:6" x14ac:dyDescent="0.25">
      <c r="D6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0"/>
  <sheetViews>
    <sheetView topLeftCell="A94" workbookViewId="0">
      <selection activeCell="C103" sqref="C103"/>
    </sheetView>
  </sheetViews>
  <sheetFormatPr defaultRowHeight="15" x14ac:dyDescent="0.25"/>
  <cols>
    <col min="1" max="1" width="11.5703125" bestFit="1" customWidth="1"/>
    <col min="2" max="2" width="36.5703125" bestFit="1" customWidth="1"/>
    <col min="4" max="4" width="10.140625" bestFit="1" customWidth="1"/>
    <col min="6" max="6" width="10.140625" bestFit="1" customWidth="1"/>
  </cols>
  <sheetData>
    <row r="1" spans="1:9" x14ac:dyDescent="0.25">
      <c r="A1" t="s">
        <v>0</v>
      </c>
      <c r="B1" t="s">
        <v>1</v>
      </c>
      <c r="C1" t="s">
        <v>8</v>
      </c>
      <c r="D1" t="s">
        <v>130</v>
      </c>
      <c r="E1" t="s">
        <v>9</v>
      </c>
      <c r="F1" t="s">
        <v>131</v>
      </c>
      <c r="G1" t="s">
        <v>7</v>
      </c>
      <c r="H1" t="s">
        <v>129</v>
      </c>
      <c r="I1" t="s">
        <v>10</v>
      </c>
    </row>
    <row r="2" spans="1:9" x14ac:dyDescent="0.25">
      <c r="A2">
        <f>'Scales Input Table'!$A2</f>
        <v>1</v>
      </c>
      <c r="B2" t="str">
        <f>'Scales Input Table'!$B2</f>
        <v>Universitat Stuttgart</v>
      </c>
      <c r="C2" s="6">
        <f>ROUND('Scales Input Table'!$V2*100,2)</f>
        <v>50.36</v>
      </c>
      <c r="D2" s="4">
        <f>'Scales Input Table'!$W2</f>
        <v>281</v>
      </c>
      <c r="E2" s="6">
        <f>ROUND('Scales Input Table'!$X2*100,2)</f>
        <v>49.82</v>
      </c>
      <c r="F2" s="4">
        <f>'Scales Input Table'!$Y2</f>
        <v>278</v>
      </c>
      <c r="G2">
        <f>'Scales Input Table'!$I2</f>
        <v>383</v>
      </c>
      <c r="H2">
        <f>'Scales Input Table'!$G2</f>
        <v>558</v>
      </c>
      <c r="I2" t="str">
        <f>'Scales Input Table'!$J2</f>
        <v>HALF</v>
      </c>
    </row>
    <row r="3" spans="1:9" x14ac:dyDescent="0.25">
      <c r="A3">
        <f>'Scales Input Table'!$A3</f>
        <v>2</v>
      </c>
      <c r="B3" t="str">
        <f>'Scales Input Table'!$B3</f>
        <v>Graz Technical Univ</v>
      </c>
      <c r="C3" s="6">
        <f>ROUND('Scales Input Table'!$V3*100,2)</f>
        <v>45.4</v>
      </c>
      <c r="D3" s="4">
        <f>'Scales Input Table'!$W3</f>
        <v>232</v>
      </c>
      <c r="E3" s="6">
        <f>ROUND('Scales Input Table'!$X3*100,2)</f>
        <v>49.71</v>
      </c>
      <c r="F3" s="4">
        <f>'Scales Input Table'!$Y3</f>
        <v>254</v>
      </c>
      <c r="G3">
        <f>'Scales Input Table'!$I3</f>
        <v>342</v>
      </c>
      <c r="H3">
        <f>'Scales Input Table'!$G3</f>
        <v>511</v>
      </c>
      <c r="I3" t="str">
        <f>'Scales Input Table'!$J3</f>
        <v>HALF</v>
      </c>
    </row>
    <row r="4" spans="1:9" x14ac:dyDescent="0.25">
      <c r="A4">
        <f>'Scales Input Table'!$A4</f>
        <v>5</v>
      </c>
      <c r="B4" t="str">
        <f>'Scales Input Table'!$B4</f>
        <v>Ecole De Technologie Superieure</v>
      </c>
      <c r="C4" s="6">
        <f>ROUND('Scales Input Table'!$V4*100,2)</f>
        <v>46.61</v>
      </c>
      <c r="D4" s="4">
        <f>'Scales Input Table'!$W4</f>
        <v>220</v>
      </c>
      <c r="E4" s="6">
        <f>ROUND('Scales Input Table'!$X4*100,2)</f>
        <v>50</v>
      </c>
      <c r="F4" s="4">
        <f>'Scales Input Table'!$Y4</f>
        <v>236</v>
      </c>
      <c r="G4">
        <f>'Scales Input Table'!$I4</f>
        <v>325</v>
      </c>
      <c r="H4">
        <f>'Scales Input Table'!$G4</f>
        <v>472</v>
      </c>
      <c r="I4" t="str">
        <f>'Scales Input Table'!$J4</f>
        <v>HALF</v>
      </c>
    </row>
    <row r="5" spans="1:9" x14ac:dyDescent="0.25">
      <c r="A5">
        <f>'Scales Input Table'!$A5</f>
        <v>6</v>
      </c>
      <c r="B5" t="str">
        <f>'Scales Input Table'!$B5</f>
        <v>Univ of Akron</v>
      </c>
      <c r="C5" s="6">
        <f>ROUND('Scales Input Table'!$V5*100,2)</f>
        <v>52.97</v>
      </c>
      <c r="D5" s="4">
        <f>'Scales Input Table'!$W5</f>
        <v>294</v>
      </c>
      <c r="E5" s="6">
        <f>ROUND('Scales Input Table'!$X5*100,2)</f>
        <v>49.37</v>
      </c>
      <c r="F5" s="4">
        <f>'Scales Input Table'!$Y5</f>
        <v>274</v>
      </c>
      <c r="G5">
        <f>'Scales Input Table'!$I5</f>
        <v>373</v>
      </c>
      <c r="H5">
        <f>'Scales Input Table'!$G5</f>
        <v>555</v>
      </c>
      <c r="I5" t="str">
        <f>'Scales Input Table'!$J5</f>
        <v>HALF</v>
      </c>
    </row>
    <row r="6" spans="1:9" x14ac:dyDescent="0.25">
      <c r="A6">
        <f>'Scales Input Table'!$A6</f>
        <v>7</v>
      </c>
      <c r="B6" t="str">
        <f>'Scales Input Table'!$B6</f>
        <v>Carleton Univ</v>
      </c>
      <c r="C6" s="6">
        <f>ROUND('Scales Input Table'!$V6*100,2)</f>
        <v>49.03</v>
      </c>
      <c r="D6" s="4">
        <f>'Scales Input Table'!$W6</f>
        <v>254</v>
      </c>
      <c r="E6" s="6">
        <f>ROUND('Scales Input Table'!$X6*100,2)</f>
        <v>49.42</v>
      </c>
      <c r="F6" s="4">
        <f>'Scales Input Table'!$Y6</f>
        <v>256</v>
      </c>
      <c r="G6">
        <f>'Scales Input Table'!$I6</f>
        <v>358</v>
      </c>
      <c r="H6">
        <f>'Scales Input Table'!$G6</f>
        <v>518</v>
      </c>
      <c r="I6" t="str">
        <f>'Scales Input Table'!$J6</f>
        <v>EMPTY</v>
      </c>
    </row>
    <row r="7" spans="1:9" x14ac:dyDescent="0.25">
      <c r="A7">
        <f>'Scales Input Table'!$A7</f>
        <v>8</v>
      </c>
      <c r="B7" t="str">
        <f>'Scales Input Table'!$B7</f>
        <v>Univ of Wisconsin - Madison</v>
      </c>
      <c r="C7" s="6">
        <f>ROUND('Scales Input Table'!$V7*100,2)</f>
        <v>46.42</v>
      </c>
      <c r="D7" s="4">
        <f>'Scales Input Table'!$W7</f>
        <v>253</v>
      </c>
      <c r="E7" s="6">
        <f>ROUND('Scales Input Table'!$X7*100,2)</f>
        <v>50.46</v>
      </c>
      <c r="F7" s="4">
        <f>'Scales Input Table'!$Y7</f>
        <v>275</v>
      </c>
      <c r="G7">
        <f>'Scales Input Table'!$I7</f>
        <v>363</v>
      </c>
      <c r="H7">
        <f>'Scales Input Table'!$G7</f>
        <v>545</v>
      </c>
      <c r="I7" t="str">
        <f>'Scales Input Table'!$J7</f>
        <v>EMPTY</v>
      </c>
    </row>
    <row r="8" spans="1:9" x14ac:dyDescent="0.25">
      <c r="A8">
        <f>'Scales Input Table'!$A8</f>
        <v>9</v>
      </c>
      <c r="B8" t="str">
        <f>'Scales Input Table'!$B8</f>
        <v>Univ of Michigan - Ann Arbor</v>
      </c>
      <c r="C8" s="6">
        <f>ROUND('Scales Input Table'!$V8*100,2)</f>
        <v>46.75</v>
      </c>
      <c r="D8" s="4">
        <f>'Scales Input Table'!$W8</f>
        <v>288</v>
      </c>
      <c r="E8" s="6">
        <f>ROUND('Scales Input Table'!$X8*100,2)</f>
        <v>49.51</v>
      </c>
      <c r="F8" s="4">
        <f>'Scales Input Table'!$Y8</f>
        <v>305</v>
      </c>
      <c r="G8">
        <f>'Scales Input Table'!$I8</f>
        <v>433</v>
      </c>
      <c r="H8">
        <f>'Scales Input Table'!$G8</f>
        <v>616</v>
      </c>
      <c r="I8" t="str">
        <f>'Scales Input Table'!$J8</f>
        <v>EMPTY</v>
      </c>
    </row>
    <row r="9" spans="1:9" x14ac:dyDescent="0.25">
      <c r="A9">
        <f>'Scales Input Table'!$A9</f>
        <v>10</v>
      </c>
      <c r="B9" t="str">
        <f>'Scales Input Table'!$B9</f>
        <v>AGH Univ of Science and Technology</v>
      </c>
      <c r="C9" s="6">
        <f>ROUND('Scales Input Table'!$V9*100,2)</f>
        <v>44.37</v>
      </c>
      <c r="D9" s="4">
        <f>'Scales Input Table'!$W9</f>
        <v>260</v>
      </c>
      <c r="E9" s="6">
        <f>ROUND('Scales Input Table'!$X9*100,2)</f>
        <v>50</v>
      </c>
      <c r="F9" s="4">
        <f>'Scales Input Table'!$Y9</f>
        <v>293</v>
      </c>
      <c r="G9">
        <f>'Scales Input Table'!$I9</f>
        <v>427</v>
      </c>
      <c r="H9">
        <f>'Scales Input Table'!$G9</f>
        <v>586</v>
      </c>
      <c r="I9" t="str">
        <f>'Scales Input Table'!$J9</f>
        <v>FULL</v>
      </c>
    </row>
    <row r="10" spans="1:9" x14ac:dyDescent="0.25">
      <c r="A10">
        <f>'Scales Input Table'!$A10</f>
        <v>11</v>
      </c>
      <c r="B10" t="str">
        <f>'Scales Input Table'!$B10</f>
        <v>Michigan State Univ</v>
      </c>
      <c r="C10" s="6">
        <f>ROUND('Scales Input Table'!$V10*100,2)</f>
        <v>50.08</v>
      </c>
      <c r="D10" s="4">
        <f>'Scales Input Table'!$W10</f>
        <v>300</v>
      </c>
      <c r="E10" s="6">
        <f>ROUND('Scales Input Table'!$X10*100,2)</f>
        <v>50.25</v>
      </c>
      <c r="F10" s="4">
        <f>'Scales Input Table'!$Y10</f>
        <v>301</v>
      </c>
      <c r="G10">
        <f>'Scales Input Table'!$I10</f>
        <v>427</v>
      </c>
      <c r="H10">
        <f>'Scales Input Table'!$G10</f>
        <v>599</v>
      </c>
      <c r="I10" t="str">
        <f>'Scales Input Table'!$J10</f>
        <v>HALF</v>
      </c>
    </row>
    <row r="11" spans="1:9" x14ac:dyDescent="0.25">
      <c r="A11">
        <f>'Scales Input Table'!$A11</f>
        <v>12</v>
      </c>
      <c r="B11" t="str">
        <f>'Scales Input Table'!$B11</f>
        <v>Purdue Univ - W Lafayette</v>
      </c>
      <c r="C11" s="6">
        <f>ROUND('Scales Input Table'!$V11*100,2)</f>
        <v>50</v>
      </c>
      <c r="D11" s="4">
        <f>'Scales Input Table'!$W11</f>
        <v>306</v>
      </c>
      <c r="E11" s="6">
        <f>ROUND('Scales Input Table'!$X11*100,2)</f>
        <v>50.33</v>
      </c>
      <c r="F11" s="4">
        <f>'Scales Input Table'!$Y11</f>
        <v>308</v>
      </c>
      <c r="G11">
        <f>'Scales Input Table'!$I11</f>
        <v>455</v>
      </c>
      <c r="H11">
        <f>'Scales Input Table'!$G11</f>
        <v>612</v>
      </c>
      <c r="I11" t="str">
        <f>'Scales Input Table'!$J11</f>
        <v>HALF</v>
      </c>
    </row>
    <row r="12" spans="1:9" x14ac:dyDescent="0.25">
      <c r="A12">
        <f>'Scales Input Table'!$A12</f>
        <v>14</v>
      </c>
      <c r="B12" t="str">
        <f>'Scales Input Table'!$B12</f>
        <v>Ecole Polytechnique Montreal</v>
      </c>
      <c r="C12" s="6">
        <f>ROUND('Scales Input Table'!$V12*100,2)</f>
        <v>50.57</v>
      </c>
      <c r="D12" s="4">
        <f>'Scales Input Table'!$W12</f>
        <v>310</v>
      </c>
      <c r="E12" s="6">
        <f>ROUND('Scales Input Table'!$X12*100,2)</f>
        <v>49.92</v>
      </c>
      <c r="F12" s="4">
        <f>'Scales Input Table'!$Y12</f>
        <v>306</v>
      </c>
      <c r="G12">
        <f>'Scales Input Table'!$I12</f>
        <v>410</v>
      </c>
      <c r="H12">
        <f>'Scales Input Table'!$G12</f>
        <v>613</v>
      </c>
      <c r="I12" t="str">
        <f>'Scales Input Table'!$J12</f>
        <v>EMPTY</v>
      </c>
    </row>
    <row r="13" spans="1:9" x14ac:dyDescent="0.25">
      <c r="A13">
        <f>'Scales Input Table'!$A13</f>
        <v>16</v>
      </c>
      <c r="B13" t="str">
        <f>'Scales Input Table'!$B13</f>
        <v>Kookmin Univ</v>
      </c>
      <c r="C13" s="6">
        <f>ROUND('Scales Input Table'!$V13*100,2)</f>
        <v>48.14</v>
      </c>
      <c r="D13" s="4">
        <f>'Scales Input Table'!$W13</f>
        <v>284</v>
      </c>
      <c r="E13" s="6">
        <f>ROUND('Scales Input Table'!$X13*100,2)</f>
        <v>49.66</v>
      </c>
      <c r="F13" s="4">
        <f>'Scales Input Table'!$Y13</f>
        <v>293</v>
      </c>
      <c r="G13">
        <f>'Scales Input Table'!$I13</f>
        <v>463</v>
      </c>
      <c r="H13">
        <f>'Scales Input Table'!$G13</f>
        <v>590</v>
      </c>
      <c r="I13" t="str">
        <f>'Scales Input Table'!$J13</f>
        <v>EMPTY</v>
      </c>
    </row>
    <row r="14" spans="1:9" x14ac:dyDescent="0.25">
      <c r="A14">
        <f>'Scales Input Table'!$A14</f>
        <v>17</v>
      </c>
      <c r="B14" t="str">
        <f>'Scales Input Table'!$B14</f>
        <v>Bradley Univ</v>
      </c>
      <c r="C14" s="6">
        <f>ROUND('Scales Input Table'!$V14*100,2)</f>
        <v>50.59</v>
      </c>
      <c r="D14" s="4">
        <f>'Scales Input Table'!$W14</f>
        <v>341</v>
      </c>
      <c r="E14" s="6">
        <f>ROUND('Scales Input Table'!$X14*100,2)</f>
        <v>51.19</v>
      </c>
      <c r="F14" s="4">
        <f>'Scales Input Table'!$Y14</f>
        <v>345</v>
      </c>
      <c r="G14">
        <f>'Scales Input Table'!$I14</f>
        <v>511</v>
      </c>
      <c r="H14">
        <f>'Scales Input Table'!$G14</f>
        <v>674</v>
      </c>
      <c r="I14" t="str">
        <f>'Scales Input Table'!$J14</f>
        <v>EMPTY</v>
      </c>
    </row>
    <row r="15" spans="1:9" x14ac:dyDescent="0.25">
      <c r="A15">
        <f>'Scales Input Table'!$A15</f>
        <v>18</v>
      </c>
      <c r="B15" t="str">
        <f>'Scales Input Table'!$B15</f>
        <v>Univ of Alabama - Tuscaloosa</v>
      </c>
      <c r="C15" s="6">
        <f>ROUND('Scales Input Table'!$V15*100,2)</f>
        <v>48.37</v>
      </c>
      <c r="D15" s="4">
        <f>'Scales Input Table'!$W15</f>
        <v>297</v>
      </c>
      <c r="E15" s="6">
        <f>ROUND('Scales Input Table'!$X15*100,2)</f>
        <v>49.84</v>
      </c>
      <c r="F15" s="4">
        <f>'Scales Input Table'!$Y15</f>
        <v>306</v>
      </c>
      <c r="G15">
        <f>'Scales Input Table'!$I15</f>
        <v>445</v>
      </c>
      <c r="H15">
        <f>'Scales Input Table'!$G15</f>
        <v>614</v>
      </c>
      <c r="I15" t="str">
        <f>'Scales Input Table'!$J15</f>
        <v>FULL</v>
      </c>
    </row>
    <row r="16" spans="1:9" x14ac:dyDescent="0.25">
      <c r="A16">
        <f>'Scales Input Table'!$A16</f>
        <v>19</v>
      </c>
      <c r="B16" t="str">
        <f>'Scales Input Table'!$B16</f>
        <v>North Carolina State Univ - Raleigh</v>
      </c>
      <c r="C16" s="6">
        <f>ROUND('Scales Input Table'!$V16*100,2)</f>
        <v>49.28</v>
      </c>
      <c r="D16" s="4">
        <f>'Scales Input Table'!$W16</f>
        <v>308</v>
      </c>
      <c r="E16" s="6">
        <f>ROUND('Scales Input Table'!$X16*100,2)</f>
        <v>49.28</v>
      </c>
      <c r="F16" s="4">
        <f>'Scales Input Table'!$Y16</f>
        <v>308</v>
      </c>
      <c r="G16">
        <f>'Scales Input Table'!$I16</f>
        <v>466</v>
      </c>
      <c r="H16">
        <f>'Scales Input Table'!$G16</f>
        <v>625</v>
      </c>
      <c r="I16" t="str">
        <f>'Scales Input Table'!$J16</f>
        <v>EMPTY</v>
      </c>
    </row>
    <row r="17" spans="1:9" x14ac:dyDescent="0.25">
      <c r="A17">
        <f>'Scales Input Table'!$A17</f>
        <v>20</v>
      </c>
      <c r="B17" t="str">
        <f>'Scales Input Table'!$B17</f>
        <v>Florida Inst of Tech</v>
      </c>
      <c r="C17" s="6">
        <f>ROUND('Scales Input Table'!$V17*100,2)</f>
        <v>48.27</v>
      </c>
      <c r="D17" s="4">
        <f>'Scales Input Table'!$W17</f>
        <v>349</v>
      </c>
      <c r="E17" s="6">
        <f>ROUND('Scales Input Table'!$X17*100,2)</f>
        <v>49.24</v>
      </c>
      <c r="F17" s="4">
        <f>'Scales Input Table'!$Y17</f>
        <v>356</v>
      </c>
      <c r="G17">
        <f>'Scales Input Table'!$I17</f>
        <v>536</v>
      </c>
      <c r="H17">
        <f>'Scales Input Table'!$G17</f>
        <v>723</v>
      </c>
      <c r="I17" t="str">
        <f>'Scales Input Table'!$J17</f>
        <v>HALF</v>
      </c>
    </row>
    <row r="18" spans="1:9" x14ac:dyDescent="0.25">
      <c r="A18">
        <f>'Scales Input Table'!$A18</f>
        <v>21</v>
      </c>
      <c r="B18" t="str">
        <f>'Scales Input Table'!$B18</f>
        <v>Univ of Florida</v>
      </c>
      <c r="C18" s="6">
        <f>ROUND('Scales Input Table'!$V18*100,2)</f>
        <v>47.39</v>
      </c>
      <c r="D18" s="4">
        <f>'Scales Input Table'!$W18</f>
        <v>300</v>
      </c>
      <c r="E18" s="6">
        <f>ROUND('Scales Input Table'!$X18*100,2)</f>
        <v>50.39</v>
      </c>
      <c r="F18" s="4">
        <f>'Scales Input Table'!$Y18</f>
        <v>319</v>
      </c>
      <c r="G18">
        <f>'Scales Input Table'!$I18</f>
        <v>474</v>
      </c>
      <c r="H18">
        <f>'Scales Input Table'!$G18</f>
        <v>633</v>
      </c>
      <c r="I18" t="str">
        <f>'Scales Input Table'!$J18</f>
        <v>HALF</v>
      </c>
    </row>
    <row r="19" spans="1:9" x14ac:dyDescent="0.25">
      <c r="A19">
        <f>'Scales Input Table'!$A19</f>
        <v>23</v>
      </c>
      <c r="B19" t="str">
        <f>'Scales Input Table'!$B19</f>
        <v>Rensselaer Polytechnic Inst</v>
      </c>
      <c r="C19" s="6">
        <f>ROUND('Scales Input Table'!$V19*100,2)</f>
        <v>47.99</v>
      </c>
      <c r="D19" s="4">
        <f>'Scales Input Table'!$W19</f>
        <v>274</v>
      </c>
      <c r="E19" s="6">
        <f>ROUND('Scales Input Table'!$X19*100,2)</f>
        <v>49.39</v>
      </c>
      <c r="F19" s="4">
        <f>'Scales Input Table'!$Y19</f>
        <v>282</v>
      </c>
      <c r="G19">
        <f>'Scales Input Table'!$I19</f>
        <v>433</v>
      </c>
      <c r="H19">
        <f>'Scales Input Table'!$G19</f>
        <v>571</v>
      </c>
      <c r="I19" t="str">
        <f>'Scales Input Table'!$J19</f>
        <v>HALF</v>
      </c>
    </row>
    <row r="20" spans="1:9" x14ac:dyDescent="0.25">
      <c r="A20">
        <f>'Scales Input Table'!$A20</f>
        <v>24</v>
      </c>
      <c r="B20" t="str">
        <f>'Scales Input Table'!$B20</f>
        <v>Univ of Toledo</v>
      </c>
      <c r="C20" s="6">
        <f>ROUND('Scales Input Table'!$V20*100,2)</f>
        <v>49.81</v>
      </c>
      <c r="D20" s="4">
        <f>'Scales Input Table'!$W20</f>
        <v>268</v>
      </c>
      <c r="E20" s="6">
        <f>ROUND('Scales Input Table'!$X20*100,2)</f>
        <v>48.7</v>
      </c>
      <c r="F20" s="4">
        <f>'Scales Input Table'!$Y20</f>
        <v>262</v>
      </c>
      <c r="G20">
        <f>'Scales Input Table'!$I20</f>
        <v>386</v>
      </c>
      <c r="H20">
        <f>'Scales Input Table'!$G20</f>
        <v>538</v>
      </c>
      <c r="I20" t="str">
        <f>'Scales Input Table'!$J20</f>
        <v>EMPTY</v>
      </c>
    </row>
    <row r="21" spans="1:9" x14ac:dyDescent="0.25">
      <c r="A21">
        <f>'Scales Input Table'!$A21</f>
        <v>25</v>
      </c>
      <c r="B21" t="str">
        <f>'Scales Input Table'!$B21</f>
        <v>Florida A&amp;M Univ/Florida State Univ</v>
      </c>
      <c r="C21" s="6" t="e">
        <f>ROUND('Scales Input Table'!$V21*100,2)</f>
        <v>#VALUE!</v>
      </c>
      <c r="D21" s="4">
        <f>'Scales Input Table'!$W21</f>
        <v>0</v>
      </c>
      <c r="E21" s="6" t="e">
        <f>ROUND('Scales Input Table'!$X21*100,2)</f>
        <v>#VALUE!</v>
      </c>
      <c r="F21" s="4">
        <f>'Scales Input Table'!$Y21</f>
        <v>0</v>
      </c>
      <c r="G21">
        <f>'Scales Input Table'!$I21</f>
        <v>0</v>
      </c>
      <c r="H21">
        <f>'Scales Input Table'!$G21</f>
        <v>0</v>
      </c>
      <c r="I21">
        <f>'Scales Input Table'!$J21</f>
        <v>0</v>
      </c>
    </row>
    <row r="22" spans="1:9" x14ac:dyDescent="0.25">
      <c r="A22">
        <f>'Scales Input Table'!$A22</f>
        <v>26</v>
      </c>
      <c r="B22" t="str">
        <f>'Scales Input Table'!$B22</f>
        <v>Purdue Univ - Northwest</v>
      </c>
      <c r="C22" s="6">
        <f>ROUND('Scales Input Table'!$V22*100,2)</f>
        <v>55</v>
      </c>
      <c r="D22" s="4">
        <f>'Scales Input Table'!$W22</f>
        <v>341</v>
      </c>
      <c r="E22" s="6">
        <f>ROUND('Scales Input Table'!$X22*100,2)</f>
        <v>50.16</v>
      </c>
      <c r="F22" s="4">
        <f>'Scales Input Table'!$Y22</f>
        <v>311</v>
      </c>
      <c r="G22">
        <f>'Scales Input Table'!$I22</f>
        <v>456</v>
      </c>
      <c r="H22">
        <f>'Scales Input Table'!$G22</f>
        <v>620</v>
      </c>
      <c r="I22" t="str">
        <f>'Scales Input Table'!$J22</f>
        <v>HALF</v>
      </c>
    </row>
    <row r="23" spans="1:9" x14ac:dyDescent="0.25">
      <c r="A23">
        <f>'Scales Input Table'!$A23</f>
        <v>29</v>
      </c>
      <c r="B23" t="str">
        <f>'Scales Input Table'!$B23</f>
        <v>Univ of Cincinnati</v>
      </c>
      <c r="C23" s="6">
        <f>ROUND('Scales Input Table'!$V23*100,2)</f>
        <v>48.94</v>
      </c>
      <c r="D23" s="4">
        <f>'Scales Input Table'!$W23</f>
        <v>276</v>
      </c>
      <c r="E23" s="6">
        <f>ROUND('Scales Input Table'!$X23*100,2)</f>
        <v>50.18</v>
      </c>
      <c r="F23" s="4">
        <f>'Scales Input Table'!$Y23</f>
        <v>283</v>
      </c>
      <c r="G23">
        <f>'Scales Input Table'!$I23</f>
        <v>421</v>
      </c>
      <c r="H23">
        <f>'Scales Input Table'!$G23</f>
        <v>564</v>
      </c>
      <c r="I23" t="str">
        <f>'Scales Input Table'!$J23</f>
        <v>HALF</v>
      </c>
    </row>
    <row r="24" spans="1:9" x14ac:dyDescent="0.25">
      <c r="A24">
        <f>'Scales Input Table'!$A24</f>
        <v>30</v>
      </c>
      <c r="B24" t="str">
        <f>'Scales Input Table'!$B24</f>
        <v>Univ of New Hampshire</v>
      </c>
      <c r="C24" s="6">
        <f>ROUND('Scales Input Table'!$V24*100,2)</f>
        <v>50.25</v>
      </c>
      <c r="D24" s="4">
        <f>'Scales Input Table'!$W24</f>
        <v>307</v>
      </c>
      <c r="E24" s="6">
        <f>ROUND('Scales Input Table'!$X24*100,2)</f>
        <v>49.75</v>
      </c>
      <c r="F24" s="4">
        <f>'Scales Input Table'!$Y24</f>
        <v>304</v>
      </c>
      <c r="G24">
        <f>'Scales Input Table'!$I24</f>
        <v>444</v>
      </c>
      <c r="H24">
        <f>'Scales Input Table'!$G24</f>
        <v>611</v>
      </c>
      <c r="I24" t="str">
        <f>'Scales Input Table'!$J24</f>
        <v>EMPTY</v>
      </c>
    </row>
    <row r="25" spans="1:9" x14ac:dyDescent="0.25">
      <c r="A25">
        <f>'Scales Input Table'!$A25</f>
        <v>32</v>
      </c>
      <c r="B25" t="str">
        <f>'Scales Input Table'!$B25</f>
        <v>Pellissippi State Community College</v>
      </c>
      <c r="C25" s="6">
        <f>ROUND('Scales Input Table'!$V25*100,2)</f>
        <v>53.41</v>
      </c>
      <c r="D25" s="4">
        <f>'Scales Input Table'!$W25</f>
        <v>407</v>
      </c>
      <c r="E25" s="6">
        <f>ROUND('Scales Input Table'!$X25*100,2)</f>
        <v>50</v>
      </c>
      <c r="F25" s="4">
        <f>'Scales Input Table'!$Y25</f>
        <v>381</v>
      </c>
      <c r="G25">
        <f>'Scales Input Table'!$I25</f>
        <v>578</v>
      </c>
      <c r="H25">
        <f>'Scales Input Table'!$G25</f>
        <v>762</v>
      </c>
      <c r="I25" t="str">
        <f>'Scales Input Table'!$J25</f>
        <v>HALF</v>
      </c>
    </row>
    <row r="26" spans="1:9" x14ac:dyDescent="0.25">
      <c r="A26">
        <f>'Scales Input Table'!$A26</f>
        <v>33</v>
      </c>
      <c r="B26" t="str">
        <f>'Scales Input Table'!$B26</f>
        <v>Oregon State Univ</v>
      </c>
      <c r="C26" s="6">
        <f>ROUND('Scales Input Table'!$V26*100,2)</f>
        <v>47.09</v>
      </c>
      <c r="D26" s="4">
        <f>'Scales Input Table'!$W26</f>
        <v>251</v>
      </c>
      <c r="E26" s="6">
        <f>ROUND('Scales Input Table'!$X26*100,2)</f>
        <v>49.91</v>
      </c>
      <c r="F26" s="4">
        <f>'Scales Input Table'!$Y26</f>
        <v>266</v>
      </c>
      <c r="G26">
        <f>'Scales Input Table'!$I26</f>
        <v>323</v>
      </c>
      <c r="H26">
        <f>'Scales Input Table'!$G26</f>
        <v>533</v>
      </c>
      <c r="I26" t="str">
        <f>'Scales Input Table'!$J26</f>
        <v>EMPTY</v>
      </c>
    </row>
    <row r="27" spans="1:9" x14ac:dyDescent="0.25">
      <c r="A27">
        <f>'Scales Input Table'!$A27</f>
        <v>34</v>
      </c>
      <c r="B27" t="str">
        <f>'Scales Input Table'!$B27</f>
        <v>Univ of Central Florida</v>
      </c>
      <c r="C27" s="6">
        <f>ROUND('Scales Input Table'!$V27*100,2)</f>
        <v>48.18</v>
      </c>
      <c r="D27" s="4">
        <f>'Scales Input Table'!$W27</f>
        <v>304</v>
      </c>
      <c r="E27" s="6">
        <f>ROUND('Scales Input Table'!$X27*100,2)</f>
        <v>50.24</v>
      </c>
      <c r="F27" s="4">
        <f>'Scales Input Table'!$Y27</f>
        <v>317</v>
      </c>
      <c r="G27">
        <f>'Scales Input Table'!$I27</f>
        <v>468</v>
      </c>
      <c r="H27">
        <f>'Scales Input Table'!$G27</f>
        <v>631</v>
      </c>
      <c r="I27" t="str">
        <f>'Scales Input Table'!$J27</f>
        <v>EMPTY</v>
      </c>
    </row>
    <row r="28" spans="1:9" x14ac:dyDescent="0.25">
      <c r="A28">
        <f>'Scales Input Table'!$A28</f>
        <v>35</v>
      </c>
      <c r="B28" t="str">
        <f>'Scales Input Table'!$B28</f>
        <v>Kansas State Univ</v>
      </c>
      <c r="C28" s="6">
        <f>ROUND('Scales Input Table'!$V28*100,2)</f>
        <v>48.23</v>
      </c>
      <c r="D28" s="4">
        <f>'Scales Input Table'!$W28</f>
        <v>340</v>
      </c>
      <c r="E28" s="6">
        <f>ROUND('Scales Input Table'!$X28*100,2)</f>
        <v>49.22</v>
      </c>
      <c r="F28" s="4">
        <f>'Scales Input Table'!$Y28</f>
        <v>347</v>
      </c>
      <c r="G28">
        <f>'Scales Input Table'!$I28</f>
        <v>549</v>
      </c>
      <c r="H28">
        <f>'Scales Input Table'!$G28</f>
        <v>705</v>
      </c>
      <c r="I28" t="str">
        <f>'Scales Input Table'!$J28</f>
        <v>HALF</v>
      </c>
    </row>
    <row r="29" spans="1:9" x14ac:dyDescent="0.25">
      <c r="A29">
        <f>'Scales Input Table'!$A29</f>
        <v>36</v>
      </c>
      <c r="B29" t="str">
        <f>'Scales Input Table'!$B29</f>
        <v>Missouri University of Science and Tech</v>
      </c>
      <c r="C29" s="6">
        <f>ROUND('Scales Input Table'!$V29*100,2)</f>
        <v>50.78</v>
      </c>
      <c r="D29" s="4">
        <f>'Scales Input Table'!$W29</f>
        <v>325</v>
      </c>
      <c r="E29" s="6">
        <f>ROUND('Scales Input Table'!$X29*100,2)</f>
        <v>49.69</v>
      </c>
      <c r="F29" s="4">
        <f>'Scales Input Table'!$Y29</f>
        <v>318</v>
      </c>
      <c r="G29">
        <f>'Scales Input Table'!$I29</f>
        <v>462</v>
      </c>
      <c r="H29">
        <f>'Scales Input Table'!$G29</f>
        <v>640</v>
      </c>
      <c r="I29" t="str">
        <f>'Scales Input Table'!$J29</f>
        <v>HALF</v>
      </c>
    </row>
    <row r="30" spans="1:9" x14ac:dyDescent="0.25">
      <c r="A30">
        <f>'Scales Input Table'!$A30</f>
        <v>37</v>
      </c>
      <c r="B30" t="str">
        <f>'Scales Input Table'!$B30</f>
        <v>Univ of Illinois - Urbana Champaign</v>
      </c>
      <c r="C30" s="6">
        <f>ROUND('Scales Input Table'!$V30*100,2)</f>
        <v>42.86</v>
      </c>
      <c r="D30" s="4">
        <f>'Scales Input Table'!$W30</f>
        <v>246</v>
      </c>
      <c r="E30" s="6">
        <f>ROUND('Scales Input Table'!$X30*100,2)</f>
        <v>50.87</v>
      </c>
      <c r="F30" s="4">
        <f>'Scales Input Table'!$Y30</f>
        <v>292</v>
      </c>
      <c r="G30">
        <f>'Scales Input Table'!$I30</f>
        <v>426</v>
      </c>
      <c r="H30">
        <f>'Scales Input Table'!$G30</f>
        <v>574</v>
      </c>
      <c r="I30" t="str">
        <f>'Scales Input Table'!$J30</f>
        <v>EMPTY</v>
      </c>
    </row>
    <row r="31" spans="1:9" x14ac:dyDescent="0.25">
      <c r="A31">
        <f>'Scales Input Table'!$A31</f>
        <v>38</v>
      </c>
      <c r="B31" t="str">
        <f>'Scales Input Table'!$B31</f>
        <v>Brown Univ</v>
      </c>
      <c r="C31" s="6">
        <f>ROUND('Scales Input Table'!$V31*100,2)</f>
        <v>50.33</v>
      </c>
      <c r="D31" s="4">
        <f>'Scales Input Table'!$W31</f>
        <v>303</v>
      </c>
      <c r="E31" s="6">
        <f>ROUND('Scales Input Table'!$X31*100,2)</f>
        <v>50.33</v>
      </c>
      <c r="F31" s="4">
        <f>'Scales Input Table'!$Y31</f>
        <v>303</v>
      </c>
      <c r="G31">
        <f>'Scales Input Table'!$I31</f>
        <v>438</v>
      </c>
      <c r="H31">
        <f>'Scales Input Table'!$G31</f>
        <v>602</v>
      </c>
      <c r="I31" t="str">
        <f>'Scales Input Table'!$J31</f>
        <v>EMPTY</v>
      </c>
    </row>
    <row r="32" spans="1:9" x14ac:dyDescent="0.25">
      <c r="A32">
        <f>'Scales Input Table'!$A32</f>
        <v>39</v>
      </c>
      <c r="B32" t="str">
        <f>'Scales Input Table'!$B32</f>
        <v>Univ of Missouri</v>
      </c>
      <c r="C32" s="6">
        <f>ROUND('Scales Input Table'!$V32*100,2)</f>
        <v>49.39</v>
      </c>
      <c r="D32" s="4">
        <f>'Scales Input Table'!$W32</f>
        <v>326</v>
      </c>
      <c r="E32" s="6">
        <f>ROUND('Scales Input Table'!$X32*100,2)</f>
        <v>50.76</v>
      </c>
      <c r="F32" s="4">
        <f>'Scales Input Table'!$Y32</f>
        <v>335</v>
      </c>
      <c r="G32">
        <f>'Scales Input Table'!$I32</f>
        <v>471</v>
      </c>
      <c r="H32">
        <f>'Scales Input Table'!$G32</f>
        <v>660</v>
      </c>
      <c r="I32" t="str">
        <f>'Scales Input Table'!$J32</f>
        <v>HALF</v>
      </c>
    </row>
    <row r="33" spans="1:9" x14ac:dyDescent="0.25">
      <c r="A33">
        <f>'Scales Input Table'!$A33</f>
        <v>40</v>
      </c>
      <c r="B33" t="str">
        <f>'Scales Input Table'!$B33</f>
        <v>Clemson Univ</v>
      </c>
      <c r="C33" s="6">
        <f>ROUND('Scales Input Table'!$V33*100,2)</f>
        <v>48.41</v>
      </c>
      <c r="D33" s="4">
        <f>'Scales Input Table'!$W33</f>
        <v>319</v>
      </c>
      <c r="E33" s="6">
        <f>ROUND('Scales Input Table'!$X33*100,2)</f>
        <v>50.99</v>
      </c>
      <c r="F33" s="4">
        <f>'Scales Input Table'!$Y33</f>
        <v>336</v>
      </c>
      <c r="G33">
        <f>'Scales Input Table'!$I33</f>
        <v>489</v>
      </c>
      <c r="H33">
        <f>'Scales Input Table'!$G33</f>
        <v>659</v>
      </c>
      <c r="I33" t="str">
        <f>'Scales Input Table'!$J33</f>
        <v>HALF</v>
      </c>
    </row>
    <row r="34" spans="1:9" x14ac:dyDescent="0.25">
      <c r="A34">
        <f>'Scales Input Table'!$A34</f>
        <v>41</v>
      </c>
      <c r="B34" t="str">
        <f>'Scales Input Table'!$B34</f>
        <v>Grand Valley State Univ</v>
      </c>
      <c r="C34" s="6">
        <f>ROUND('Scales Input Table'!$V34*100,2)</f>
        <v>53</v>
      </c>
      <c r="D34" s="4">
        <f>'Scales Input Table'!$W34</f>
        <v>389</v>
      </c>
      <c r="E34" s="6">
        <f>ROUND('Scales Input Table'!$X34*100,2)</f>
        <v>49.86</v>
      </c>
      <c r="F34" s="4">
        <f>'Scales Input Table'!$Y34</f>
        <v>366</v>
      </c>
      <c r="G34">
        <f>'Scales Input Table'!$I34</f>
        <v>547</v>
      </c>
      <c r="H34">
        <f>'Scales Input Table'!$G34</f>
        <v>734</v>
      </c>
      <c r="I34" t="str">
        <f>'Scales Input Table'!$J34</f>
        <v>EMPTY</v>
      </c>
    </row>
    <row r="35" spans="1:9" x14ac:dyDescent="0.25">
      <c r="A35">
        <f>'Scales Input Table'!$A35</f>
        <v>42</v>
      </c>
      <c r="B35" t="str">
        <f>'Scales Input Table'!$B35</f>
        <v>Univ of Kentucky</v>
      </c>
      <c r="C35" s="6">
        <f>ROUND('Scales Input Table'!$V35*100,2)</f>
        <v>49.57</v>
      </c>
      <c r="D35" s="4">
        <f>'Scales Input Table'!$W35</f>
        <v>342</v>
      </c>
      <c r="E35" s="6">
        <f>ROUND('Scales Input Table'!$X35*100,2)</f>
        <v>50.58</v>
      </c>
      <c r="F35" s="4">
        <f>'Scales Input Table'!$Y35</f>
        <v>349</v>
      </c>
      <c r="G35">
        <f>'Scales Input Table'!$I35</f>
        <v>524</v>
      </c>
      <c r="H35">
        <f>'Scales Input Table'!$G35</f>
        <v>690</v>
      </c>
      <c r="I35" t="str">
        <f>'Scales Input Table'!$J35</f>
        <v>HALF</v>
      </c>
    </row>
    <row r="36" spans="1:9" x14ac:dyDescent="0.25">
      <c r="A36">
        <f>'Scales Input Table'!$A36</f>
        <v>43</v>
      </c>
      <c r="B36" t="str">
        <f>'Scales Input Table'!$B36</f>
        <v>Minnesota State University - Mankato</v>
      </c>
      <c r="C36" s="6">
        <f>ROUND('Scales Input Table'!$V36*100,2)</f>
        <v>49.07</v>
      </c>
      <c r="D36" s="4">
        <f>'Scales Input Table'!$W36</f>
        <v>264</v>
      </c>
      <c r="E36" s="6">
        <f>ROUND('Scales Input Table'!$X36*100,2)</f>
        <v>49.26</v>
      </c>
      <c r="F36" s="4">
        <f>'Scales Input Table'!$Y36</f>
        <v>265</v>
      </c>
      <c r="G36">
        <f>'Scales Input Table'!$I36</f>
        <v>375</v>
      </c>
      <c r="H36">
        <f>'Scales Input Table'!$G36</f>
        <v>538</v>
      </c>
      <c r="I36" t="str">
        <f>'Scales Input Table'!$J36</f>
        <v>EMPTY</v>
      </c>
    </row>
    <row r="37" spans="1:9" x14ac:dyDescent="0.25">
      <c r="A37">
        <f>'Scales Input Table'!$A37</f>
        <v>44</v>
      </c>
      <c r="B37" t="str">
        <f>'Scales Input Table'!$B37</f>
        <v>IPN - UPIITA</v>
      </c>
      <c r="C37" s="6">
        <f>ROUND('Scales Input Table'!$V37*100,2)</f>
        <v>53.1</v>
      </c>
      <c r="D37" s="4">
        <f>'Scales Input Table'!$W37</f>
        <v>385</v>
      </c>
      <c r="E37" s="6">
        <f>ROUND('Scales Input Table'!$X37*100,2)</f>
        <v>50.21</v>
      </c>
      <c r="F37" s="4">
        <f>'Scales Input Table'!$Y37</f>
        <v>364</v>
      </c>
      <c r="G37">
        <f>'Scales Input Table'!$I37</f>
        <v>563</v>
      </c>
      <c r="H37">
        <f>'Scales Input Table'!$G37</f>
        <v>725</v>
      </c>
      <c r="I37" t="str">
        <f>'Scales Input Table'!$J37</f>
        <v>HALF</v>
      </c>
    </row>
    <row r="38" spans="1:9" x14ac:dyDescent="0.25">
      <c r="A38">
        <f>'Scales Input Table'!$A38</f>
        <v>46</v>
      </c>
      <c r="B38" t="str">
        <f>'Scales Input Table'!$B38</f>
        <v>San Jose State University</v>
      </c>
      <c r="C38" s="6">
        <f>ROUND('Scales Input Table'!$V38*100,2)</f>
        <v>48.35</v>
      </c>
      <c r="D38" s="4">
        <f>'Scales Input Table'!$W38</f>
        <v>278</v>
      </c>
      <c r="E38" s="6">
        <f>ROUND('Scales Input Table'!$X38*100,2)</f>
        <v>49.74</v>
      </c>
      <c r="F38" s="4">
        <f>'Scales Input Table'!$Y38</f>
        <v>286</v>
      </c>
      <c r="G38">
        <f>'Scales Input Table'!$I38</f>
        <v>435</v>
      </c>
      <c r="H38">
        <f>'Scales Input Table'!$G38</f>
        <v>575</v>
      </c>
      <c r="I38" t="str">
        <f>'Scales Input Table'!$J38</f>
        <v>HALF</v>
      </c>
    </row>
    <row r="39" spans="1:9" x14ac:dyDescent="0.25">
      <c r="A39">
        <f>'Scales Input Table'!$A39</f>
        <v>47</v>
      </c>
      <c r="B39" t="str">
        <f>'Scales Input Table'!$B39</f>
        <v>Ryerson Univ</v>
      </c>
      <c r="C39" s="6">
        <f>ROUND('Scales Input Table'!$V39*100,2)</f>
        <v>43.4</v>
      </c>
      <c r="D39" s="4">
        <f>'Scales Input Table'!$W39</f>
        <v>276</v>
      </c>
      <c r="E39" s="6">
        <f>ROUND('Scales Input Table'!$X39*100,2)</f>
        <v>49.84</v>
      </c>
      <c r="F39" s="4">
        <f>'Scales Input Table'!$Y39</f>
        <v>317</v>
      </c>
      <c r="G39">
        <f>'Scales Input Table'!$I39</f>
        <v>452</v>
      </c>
      <c r="H39">
        <f>'Scales Input Table'!$G39</f>
        <v>636</v>
      </c>
      <c r="I39" t="str">
        <f>'Scales Input Table'!$J39</f>
        <v>HALF</v>
      </c>
    </row>
    <row r="40" spans="1:9" x14ac:dyDescent="0.25">
      <c r="A40">
        <f>'Scales Input Table'!$A40</f>
        <v>48</v>
      </c>
      <c r="B40" t="str">
        <f>'Scales Input Table'!$B40</f>
        <v>Vaughn College of Aeronautics</v>
      </c>
      <c r="C40" s="6" t="e">
        <f>ROUND('Scales Input Table'!$V40*100,2)</f>
        <v>#VALUE!</v>
      </c>
      <c r="D40" s="4">
        <f>'Scales Input Table'!$W40</f>
        <v>0</v>
      </c>
      <c r="E40" s="6" t="e">
        <f>ROUND('Scales Input Table'!$X40*100,2)</f>
        <v>#VALUE!</v>
      </c>
      <c r="F40" s="4">
        <f>'Scales Input Table'!$Y40</f>
        <v>0</v>
      </c>
      <c r="G40">
        <f>'Scales Input Table'!$I40</f>
        <v>0</v>
      </c>
      <c r="H40">
        <f>'Scales Input Table'!$G40</f>
        <v>0</v>
      </c>
      <c r="I40">
        <f>'Scales Input Table'!$J40</f>
        <v>0</v>
      </c>
    </row>
    <row r="41" spans="1:9" x14ac:dyDescent="0.25">
      <c r="A41">
        <f>'Scales Input Table'!$A41</f>
        <v>49</v>
      </c>
      <c r="B41" t="str">
        <f>'Scales Input Table'!$B41</f>
        <v>Univ of Louisiana - Lafayette</v>
      </c>
      <c r="C41" s="6">
        <f>ROUND('Scales Input Table'!$V41*100,2)</f>
        <v>49.72</v>
      </c>
      <c r="D41" s="4">
        <f>'Scales Input Table'!$W41</f>
        <v>353</v>
      </c>
      <c r="E41" s="6">
        <f>ROUND('Scales Input Table'!$X41*100,2)</f>
        <v>50.14</v>
      </c>
      <c r="F41" s="4">
        <f>'Scales Input Table'!$Y41</f>
        <v>356</v>
      </c>
      <c r="G41">
        <f>'Scales Input Table'!$I41</f>
        <v>533</v>
      </c>
      <c r="H41">
        <f>'Scales Input Table'!$G41</f>
        <v>710</v>
      </c>
      <c r="I41" t="str">
        <f>'Scales Input Table'!$J41</f>
        <v>HALF</v>
      </c>
    </row>
    <row r="42" spans="1:9" x14ac:dyDescent="0.25">
      <c r="A42">
        <f>'Scales Input Table'!$A42</f>
        <v>50</v>
      </c>
      <c r="B42" t="str">
        <f>'Scales Input Table'!$B42</f>
        <v>Univ of Michigan - Dearborn</v>
      </c>
      <c r="C42" s="6">
        <f>ROUND('Scales Input Table'!$V42*100,2)</f>
        <v>47.9</v>
      </c>
      <c r="D42" s="4">
        <f>'Scales Input Table'!$W42</f>
        <v>285</v>
      </c>
      <c r="E42" s="6">
        <f>ROUND('Scales Input Table'!$X42*100,2)</f>
        <v>48.4</v>
      </c>
      <c r="F42" s="4">
        <f>'Scales Input Table'!$Y42</f>
        <v>288</v>
      </c>
      <c r="G42">
        <f>'Scales Input Table'!$I42</f>
        <v>445</v>
      </c>
      <c r="H42">
        <f>'Scales Input Table'!$G42</f>
        <v>595</v>
      </c>
      <c r="I42" t="str">
        <f>'Scales Input Table'!$J42</f>
        <v>HALF</v>
      </c>
    </row>
    <row r="43" spans="1:9" x14ac:dyDescent="0.25">
      <c r="A43">
        <f>'Scales Input Table'!$A43</f>
        <v>51</v>
      </c>
      <c r="B43" t="str">
        <f>'Scales Input Table'!$B43</f>
        <v>Universidad Simon Bolivar</v>
      </c>
      <c r="C43" s="6">
        <f>ROUND('Scales Input Table'!$V43*100,2)</f>
        <v>46.32</v>
      </c>
      <c r="D43" s="4">
        <f>'Scales Input Table'!$W43</f>
        <v>296</v>
      </c>
      <c r="E43" s="6">
        <f>ROUND('Scales Input Table'!$X43*100,2)</f>
        <v>50.08</v>
      </c>
      <c r="F43" s="4">
        <f>'Scales Input Table'!$Y43</f>
        <v>320</v>
      </c>
      <c r="G43">
        <f>'Scales Input Table'!$I43</f>
        <v>499</v>
      </c>
      <c r="H43">
        <f>'Scales Input Table'!$G43</f>
        <v>639</v>
      </c>
      <c r="I43" t="str">
        <f>'Scales Input Table'!$J43</f>
        <v>EMPTY</v>
      </c>
    </row>
    <row r="44" spans="1:9" x14ac:dyDescent="0.25">
      <c r="A44">
        <f>'Scales Input Table'!$A44</f>
        <v>52</v>
      </c>
      <c r="B44" t="str">
        <f>'Scales Input Table'!$B44</f>
        <v>Western Michigan Univ</v>
      </c>
      <c r="C44" s="6">
        <f>ROUND('Scales Input Table'!$V44*100,2)</f>
        <v>51.59</v>
      </c>
      <c r="D44" s="4">
        <f>'Scales Input Table'!$W44</f>
        <v>325</v>
      </c>
      <c r="E44" s="6">
        <f>ROUND('Scales Input Table'!$X44*100,2)</f>
        <v>50.48</v>
      </c>
      <c r="F44" s="4">
        <f>'Scales Input Table'!$Y44</f>
        <v>318</v>
      </c>
      <c r="G44">
        <f>'Scales Input Table'!$I44</f>
        <v>474</v>
      </c>
      <c r="H44">
        <f>'Scales Input Table'!$G44</f>
        <v>630</v>
      </c>
      <c r="I44" t="str">
        <f>'Scales Input Table'!$J44</f>
        <v>HALF</v>
      </c>
    </row>
    <row r="45" spans="1:9" x14ac:dyDescent="0.25">
      <c r="A45">
        <f>'Scales Input Table'!$A45</f>
        <v>54</v>
      </c>
      <c r="B45" t="str">
        <f>'Scales Input Table'!$B45</f>
        <v>Michigan Tech Univ</v>
      </c>
      <c r="C45" s="6">
        <f>ROUND('Scales Input Table'!$V45*100,2)</f>
        <v>54.19</v>
      </c>
      <c r="D45" s="4">
        <f>'Scales Input Table'!$W45</f>
        <v>369</v>
      </c>
      <c r="E45" s="6">
        <f>ROUND('Scales Input Table'!$X45*100,2)</f>
        <v>49.34</v>
      </c>
      <c r="F45" s="4">
        <f>'Scales Input Table'!$Y45</f>
        <v>336</v>
      </c>
      <c r="G45">
        <f>'Scales Input Table'!$I45</f>
        <v>503</v>
      </c>
      <c r="H45">
        <f>'Scales Input Table'!$G45</f>
        <v>681</v>
      </c>
      <c r="I45" t="str">
        <f>'Scales Input Table'!$J45</f>
        <v>EMPTY</v>
      </c>
    </row>
    <row r="46" spans="1:9" x14ac:dyDescent="0.25">
      <c r="A46">
        <f>'Scales Input Table'!$A46</f>
        <v>55</v>
      </c>
      <c r="B46" t="str">
        <f>'Scales Input Table'!$B46</f>
        <v>Rutgers Univ</v>
      </c>
      <c r="C46" s="6">
        <f>ROUND('Scales Input Table'!$V46*100,2)</f>
        <v>49.6</v>
      </c>
      <c r="D46" s="4">
        <f>'Scales Input Table'!$W46</f>
        <v>247</v>
      </c>
      <c r="E46" s="6">
        <f>ROUND('Scales Input Table'!$X46*100,2)</f>
        <v>50.4</v>
      </c>
      <c r="F46" s="4">
        <f>'Scales Input Table'!$Y46</f>
        <v>251</v>
      </c>
      <c r="G46">
        <f>'Scales Input Table'!$I46</f>
        <v>368</v>
      </c>
      <c r="H46">
        <f>'Scales Input Table'!$G46</f>
        <v>498</v>
      </c>
      <c r="I46" t="str">
        <f>'Scales Input Table'!$J46</f>
        <v>HALF</v>
      </c>
    </row>
    <row r="47" spans="1:9" x14ac:dyDescent="0.25">
      <c r="A47">
        <f>'Scales Input Table'!$A47</f>
        <v>56</v>
      </c>
      <c r="B47" t="str">
        <f>'Scales Input Table'!$B47</f>
        <v>National Univ of Singapore</v>
      </c>
      <c r="C47" s="6">
        <f>ROUND('Scales Input Table'!$V47*100,2)</f>
        <v>48.56</v>
      </c>
      <c r="D47" s="4">
        <f>'Scales Input Table'!$W47</f>
        <v>287</v>
      </c>
      <c r="E47" s="6">
        <f>ROUND('Scales Input Table'!$X47*100,2)</f>
        <v>50.76</v>
      </c>
      <c r="F47" s="4">
        <f>'Scales Input Table'!$Y47</f>
        <v>300</v>
      </c>
      <c r="G47">
        <f>'Scales Input Table'!$I47</f>
        <v>468</v>
      </c>
      <c r="H47">
        <f>'Scales Input Table'!$G47</f>
        <v>591</v>
      </c>
      <c r="I47" t="str">
        <f>'Scales Input Table'!$J47</f>
        <v>EMPTY</v>
      </c>
    </row>
    <row r="48" spans="1:9" x14ac:dyDescent="0.25">
      <c r="A48">
        <f>'Scales Input Table'!$A48</f>
        <v>58</v>
      </c>
      <c r="B48" t="str">
        <f>'Scales Input Table'!$B48</f>
        <v>Kennesaw State University</v>
      </c>
      <c r="C48" s="6">
        <f>ROUND('Scales Input Table'!$V48*100,2)</f>
        <v>54.27</v>
      </c>
      <c r="D48" s="4">
        <f>'Scales Input Table'!$W48</f>
        <v>286</v>
      </c>
      <c r="E48" s="6">
        <f>ROUND('Scales Input Table'!$X48*100,2)</f>
        <v>49.91</v>
      </c>
      <c r="F48" s="4">
        <f>'Scales Input Table'!$Y48</f>
        <v>263</v>
      </c>
      <c r="G48">
        <f>'Scales Input Table'!$I48</f>
        <v>390</v>
      </c>
      <c r="H48">
        <f>'Scales Input Table'!$G48</f>
        <v>527</v>
      </c>
      <c r="I48" t="str">
        <f>'Scales Input Table'!$J48</f>
        <v>HALF</v>
      </c>
    </row>
    <row r="49" spans="1:9" x14ac:dyDescent="0.25">
      <c r="A49">
        <f>'Scales Input Table'!$A49</f>
        <v>61</v>
      </c>
      <c r="B49" t="str">
        <f>'Scales Input Table'!$B49</f>
        <v>Queen's Univ</v>
      </c>
      <c r="C49" s="6" t="e">
        <f>ROUND('Scales Input Table'!$V49*100,2)</f>
        <v>#VALUE!</v>
      </c>
      <c r="D49" s="4">
        <f>'Scales Input Table'!$W49</f>
        <v>0</v>
      </c>
      <c r="E49" s="6" t="e">
        <f>ROUND('Scales Input Table'!$X49*100,2)</f>
        <v>#VALUE!</v>
      </c>
      <c r="F49" s="4">
        <f>'Scales Input Table'!$Y49</f>
        <v>0</v>
      </c>
      <c r="G49">
        <f>'Scales Input Table'!$I49</f>
        <v>0</v>
      </c>
      <c r="H49">
        <f>'Scales Input Table'!$G49</f>
        <v>0</v>
      </c>
      <c r="I49">
        <f>'Scales Input Table'!$J49</f>
        <v>0</v>
      </c>
    </row>
    <row r="50" spans="1:9" x14ac:dyDescent="0.25">
      <c r="A50">
        <f>'Scales Input Table'!$A50</f>
        <v>62</v>
      </c>
      <c r="B50" t="str">
        <f>'Scales Input Table'!$B50</f>
        <v>Univ of Minnesota - Twin Cities</v>
      </c>
      <c r="C50" s="6">
        <f>ROUND('Scales Input Table'!$V50*100,2)</f>
        <v>47.66</v>
      </c>
      <c r="D50" s="4">
        <f>'Scales Input Table'!$W50</f>
        <v>285</v>
      </c>
      <c r="E50" s="6">
        <f>ROUND('Scales Input Table'!$X50*100,2)</f>
        <v>50.5</v>
      </c>
      <c r="F50" s="4">
        <f>'Scales Input Table'!$Y50</f>
        <v>302</v>
      </c>
      <c r="G50">
        <f>'Scales Input Table'!$I50</f>
        <v>448</v>
      </c>
      <c r="H50">
        <f>'Scales Input Table'!$G50</f>
        <v>598</v>
      </c>
      <c r="I50" t="str">
        <f>'Scales Input Table'!$J50</f>
        <v>HALF</v>
      </c>
    </row>
    <row r="51" spans="1:9" x14ac:dyDescent="0.25">
      <c r="A51">
        <f>'Scales Input Table'!$A51</f>
        <v>63</v>
      </c>
      <c r="B51" t="str">
        <f>'Scales Input Table'!$B51</f>
        <v>Washington Univ - St Louis</v>
      </c>
      <c r="C51" s="6">
        <f>ROUND('Scales Input Table'!$V51*100,2)</f>
        <v>52.03</v>
      </c>
      <c r="D51" s="4">
        <f>'Scales Input Table'!$W51</f>
        <v>308</v>
      </c>
      <c r="E51" s="6">
        <f>ROUND('Scales Input Table'!$X51*100,2)</f>
        <v>50.34</v>
      </c>
      <c r="F51" s="4">
        <f>'Scales Input Table'!$Y51</f>
        <v>298</v>
      </c>
      <c r="G51">
        <f>'Scales Input Table'!$I51</f>
        <v>430</v>
      </c>
      <c r="H51">
        <f>'Scales Input Table'!$G51</f>
        <v>592</v>
      </c>
      <c r="I51" t="str">
        <f>'Scales Input Table'!$J51</f>
        <v>EMPTY</v>
      </c>
    </row>
    <row r="52" spans="1:9" x14ac:dyDescent="0.25">
      <c r="A52">
        <f>'Scales Input Table'!$A52</f>
        <v>64</v>
      </c>
      <c r="B52" t="str">
        <f>'Scales Input Table'!$B52</f>
        <v>Univ of Maryland - College Park</v>
      </c>
      <c r="C52" s="6">
        <f>ROUND('Scales Input Table'!$V52*100,2)</f>
        <v>48.17</v>
      </c>
      <c r="D52" s="4">
        <f>'Scales Input Table'!$W52</f>
        <v>303</v>
      </c>
      <c r="E52" s="6">
        <f>ROUND('Scales Input Table'!$X52*100,2)</f>
        <v>50.08</v>
      </c>
      <c r="F52" s="4">
        <f>'Scales Input Table'!$Y52</f>
        <v>315</v>
      </c>
      <c r="G52">
        <f>'Scales Input Table'!$I52</f>
        <v>471</v>
      </c>
      <c r="H52">
        <f>'Scales Input Table'!$G52</f>
        <v>629</v>
      </c>
      <c r="I52" t="str">
        <f>'Scales Input Table'!$J52</f>
        <v>EMPTY</v>
      </c>
    </row>
    <row r="53" spans="1:9" x14ac:dyDescent="0.25">
      <c r="A53">
        <f>'Scales Input Table'!$A53</f>
        <v>65</v>
      </c>
      <c r="B53" t="str">
        <f>'Scales Input Table'!$B53</f>
        <v>Lehigh Univ</v>
      </c>
      <c r="C53" s="6">
        <f>ROUND('Scales Input Table'!$V53*100,2)</f>
        <v>48.9</v>
      </c>
      <c r="D53" s="4">
        <f>'Scales Input Table'!$W53</f>
        <v>244</v>
      </c>
      <c r="E53" s="6">
        <f>ROUND('Scales Input Table'!$X53*100,2)</f>
        <v>49.7</v>
      </c>
      <c r="F53" s="4">
        <f>'Scales Input Table'!$Y53</f>
        <v>248</v>
      </c>
      <c r="G53">
        <f>'Scales Input Table'!$I53</f>
        <v>333</v>
      </c>
      <c r="H53">
        <f>'Scales Input Table'!$G53</f>
        <v>499</v>
      </c>
      <c r="I53" t="str">
        <f>'Scales Input Table'!$J53</f>
        <v>EMPTY</v>
      </c>
    </row>
    <row r="54" spans="1:9" x14ac:dyDescent="0.25">
      <c r="A54">
        <f>'Scales Input Table'!$A54</f>
        <v>66</v>
      </c>
      <c r="B54" t="str">
        <f>'Scales Input Table'!$B54</f>
        <v>Univ of Waterloo</v>
      </c>
      <c r="C54" s="6">
        <f>ROUND('Scales Input Table'!$V54*100,2)</f>
        <v>50.31</v>
      </c>
      <c r="D54" s="4">
        <f>'Scales Input Table'!$W54</f>
        <v>320</v>
      </c>
      <c r="E54" s="6">
        <f>ROUND('Scales Input Table'!$X54*100,2)</f>
        <v>50.31</v>
      </c>
      <c r="F54" s="4">
        <f>'Scales Input Table'!$Y54</f>
        <v>320</v>
      </c>
      <c r="G54">
        <f>'Scales Input Table'!$I54</f>
        <v>460</v>
      </c>
      <c r="H54">
        <f>'Scales Input Table'!$G54</f>
        <v>636</v>
      </c>
      <c r="I54" t="str">
        <f>'Scales Input Table'!$J54</f>
        <v>HALF</v>
      </c>
    </row>
    <row r="55" spans="1:9" x14ac:dyDescent="0.25">
      <c r="A55">
        <f>'Scales Input Table'!$A55</f>
        <v>67</v>
      </c>
      <c r="B55" t="str">
        <f>'Scales Input Table'!$B55</f>
        <v>Univ of Guelph</v>
      </c>
      <c r="C55" s="6">
        <f>ROUND('Scales Input Table'!$V55*100,2)</f>
        <v>50.45</v>
      </c>
      <c r="D55" s="4">
        <f>'Scales Input Table'!$W55</f>
        <v>333</v>
      </c>
      <c r="E55" s="6">
        <f>ROUND('Scales Input Table'!$X55*100,2)</f>
        <v>50.61</v>
      </c>
      <c r="F55" s="4">
        <f>'Scales Input Table'!$Y55</f>
        <v>334</v>
      </c>
      <c r="G55">
        <f>'Scales Input Table'!$I55</f>
        <v>449</v>
      </c>
      <c r="H55">
        <f>'Scales Input Table'!$G55</f>
        <v>660</v>
      </c>
      <c r="I55" t="str">
        <f>'Scales Input Table'!$J55</f>
        <v>FULL</v>
      </c>
    </row>
    <row r="56" spans="1:9" x14ac:dyDescent="0.25">
      <c r="A56">
        <f>'Scales Input Table'!$A56</f>
        <v>68</v>
      </c>
      <c r="B56" t="str">
        <f>'Scales Input Table'!$B56</f>
        <v>Penn State Univ - University Park</v>
      </c>
      <c r="C56" s="6">
        <f>ROUND('Scales Input Table'!$V56*100,2)</f>
        <v>48.27</v>
      </c>
      <c r="D56" s="4">
        <f>'Scales Input Table'!$W56</f>
        <v>279</v>
      </c>
      <c r="E56" s="6">
        <f>ROUND('Scales Input Table'!$X56*100,2)</f>
        <v>49.48</v>
      </c>
      <c r="F56" s="4">
        <f>'Scales Input Table'!$Y56</f>
        <v>286</v>
      </c>
      <c r="G56">
        <f>'Scales Input Table'!$I56</f>
        <v>411</v>
      </c>
      <c r="H56">
        <f>'Scales Input Table'!$G56</f>
        <v>578</v>
      </c>
      <c r="I56" t="str">
        <f>'Scales Input Table'!$J56</f>
        <v>HALF</v>
      </c>
    </row>
    <row r="57" spans="1:9" x14ac:dyDescent="0.25">
      <c r="A57">
        <f>'Scales Input Table'!$A57</f>
        <v>69</v>
      </c>
      <c r="B57" t="str">
        <f>'Scales Input Table'!$B57</f>
        <v>Univ of Connecticut</v>
      </c>
      <c r="C57" s="6">
        <f>ROUND('Scales Input Table'!$V57*100,2)</f>
        <v>48.81</v>
      </c>
      <c r="D57" s="4">
        <f>'Scales Input Table'!$W57</f>
        <v>287</v>
      </c>
      <c r="E57" s="6">
        <f>ROUND('Scales Input Table'!$X57*100,2)</f>
        <v>49.83</v>
      </c>
      <c r="F57" s="4">
        <f>'Scales Input Table'!$Y57</f>
        <v>293</v>
      </c>
      <c r="G57">
        <f>'Scales Input Table'!$I57</f>
        <v>451</v>
      </c>
      <c r="H57">
        <f>'Scales Input Table'!$G57</f>
        <v>588</v>
      </c>
      <c r="I57" t="str">
        <f>'Scales Input Table'!$J57</f>
        <v>EMPTY</v>
      </c>
    </row>
    <row r="58" spans="1:9" x14ac:dyDescent="0.25">
      <c r="A58">
        <f>'Scales Input Table'!$A58</f>
        <v>70</v>
      </c>
      <c r="B58" t="str">
        <f>'Scales Input Table'!$B58</f>
        <v>Penn State Univ - Harrisburg</v>
      </c>
      <c r="C58" s="6">
        <f>ROUND('Scales Input Table'!$V58*100,2)</f>
        <v>48.67</v>
      </c>
      <c r="D58" s="4">
        <f>'Scales Input Table'!$W58</f>
        <v>330</v>
      </c>
      <c r="E58" s="6">
        <f>ROUND('Scales Input Table'!$X58*100,2)</f>
        <v>50.15</v>
      </c>
      <c r="F58" s="4">
        <f>'Scales Input Table'!$Y58</f>
        <v>340</v>
      </c>
      <c r="G58">
        <f>'Scales Input Table'!$I58</f>
        <v>536</v>
      </c>
      <c r="H58">
        <f>'Scales Input Table'!$G58</f>
        <v>678</v>
      </c>
      <c r="I58" t="str">
        <f>'Scales Input Table'!$J58</f>
        <v>HALF</v>
      </c>
    </row>
    <row r="59" spans="1:9" x14ac:dyDescent="0.25">
      <c r="A59">
        <f>'Scales Input Table'!$A59</f>
        <v>71</v>
      </c>
      <c r="B59" t="str">
        <f>'Scales Input Table'!$B59</f>
        <v>Univ of Puerto Rico-Mayaquez</v>
      </c>
      <c r="C59" s="6">
        <f>ROUND('Scales Input Table'!$V59*100,2)</f>
        <v>51.04</v>
      </c>
      <c r="D59" s="4">
        <f>'Scales Input Table'!$W59</f>
        <v>320</v>
      </c>
      <c r="E59" s="6">
        <f>ROUND('Scales Input Table'!$X59*100,2)</f>
        <v>50.88</v>
      </c>
      <c r="F59" s="4">
        <f>'Scales Input Table'!$Y59</f>
        <v>319</v>
      </c>
      <c r="G59">
        <f>'Scales Input Table'!$I59</f>
        <v>482</v>
      </c>
      <c r="H59">
        <f>'Scales Input Table'!$G59</f>
        <v>627</v>
      </c>
      <c r="I59" t="str">
        <f>'Scales Input Table'!$J59</f>
        <v>EMPTY</v>
      </c>
    </row>
    <row r="60" spans="1:9" x14ac:dyDescent="0.25">
      <c r="A60">
        <f>'Scales Input Table'!$A60</f>
        <v>72</v>
      </c>
      <c r="B60" t="str">
        <f>'Scales Input Table'!$B60</f>
        <v>Florida International Univ</v>
      </c>
      <c r="C60" s="6">
        <f>ROUND('Scales Input Table'!$V60*100,2)</f>
        <v>54.35</v>
      </c>
      <c r="D60" s="4">
        <f>'Scales Input Table'!$W60</f>
        <v>337</v>
      </c>
      <c r="E60" s="6">
        <f>ROUND('Scales Input Table'!$X60*100,2)</f>
        <v>49.52</v>
      </c>
      <c r="F60" s="4">
        <f>'Scales Input Table'!$Y60</f>
        <v>307</v>
      </c>
      <c r="G60">
        <f>'Scales Input Table'!$I60</f>
        <v>475</v>
      </c>
      <c r="H60">
        <f>'Scales Input Table'!$G60</f>
        <v>620</v>
      </c>
      <c r="I60" t="str">
        <f>'Scales Input Table'!$J60</f>
        <v>HALF</v>
      </c>
    </row>
    <row r="61" spans="1:9" x14ac:dyDescent="0.25">
      <c r="A61">
        <f>'Scales Input Table'!$A61</f>
        <v>73</v>
      </c>
      <c r="B61" t="str">
        <f>'Scales Input Table'!$B61</f>
        <v>Louisiana State Univ</v>
      </c>
      <c r="C61" s="6">
        <f>ROUND('Scales Input Table'!$V61*100,2)</f>
        <v>47.28</v>
      </c>
      <c r="D61" s="4">
        <f>'Scales Input Table'!$W61</f>
        <v>278</v>
      </c>
      <c r="E61" s="6">
        <f>ROUND('Scales Input Table'!$X61*100,2)</f>
        <v>48.98</v>
      </c>
      <c r="F61" s="4">
        <f>'Scales Input Table'!$Y61</f>
        <v>288</v>
      </c>
      <c r="G61">
        <f>'Scales Input Table'!$I61</f>
        <v>430</v>
      </c>
      <c r="H61">
        <f>'Scales Input Table'!$G61</f>
        <v>588</v>
      </c>
      <c r="I61" t="str">
        <f>'Scales Input Table'!$J61</f>
        <v>FULL</v>
      </c>
    </row>
    <row r="62" spans="1:9" x14ac:dyDescent="0.25">
      <c r="A62">
        <f>'Scales Input Table'!$A62</f>
        <v>74</v>
      </c>
      <c r="B62" t="str">
        <f>'Scales Input Table'!$B62</f>
        <v>Rochester Institute of Technology</v>
      </c>
      <c r="C62" s="6">
        <f>ROUND('Scales Input Table'!$V62*100,2)</f>
        <v>47.23</v>
      </c>
      <c r="D62" s="4">
        <f>'Scales Input Table'!$W62</f>
        <v>290</v>
      </c>
      <c r="E62" s="6">
        <f>ROUND('Scales Input Table'!$X62*100,2)</f>
        <v>49.67</v>
      </c>
      <c r="F62" s="4">
        <f>'Scales Input Table'!$Y62</f>
        <v>305</v>
      </c>
      <c r="G62">
        <f>'Scales Input Table'!$I62</f>
        <v>426</v>
      </c>
      <c r="H62">
        <f>'Scales Input Table'!$G62</f>
        <v>614</v>
      </c>
      <c r="I62" t="str">
        <f>'Scales Input Table'!$J62</f>
        <v>EMPTY</v>
      </c>
    </row>
    <row r="63" spans="1:9" x14ac:dyDescent="0.25">
      <c r="A63">
        <f>'Scales Input Table'!$A63</f>
        <v>75</v>
      </c>
      <c r="B63" t="str">
        <f>'Scales Input Table'!$B63</f>
        <v>Old Dominion Univ</v>
      </c>
      <c r="C63" s="6">
        <f>ROUND('Scales Input Table'!$V63*100,2)</f>
        <v>51.33</v>
      </c>
      <c r="D63" s="4">
        <f>'Scales Input Table'!$W63</f>
        <v>328</v>
      </c>
      <c r="E63" s="6">
        <f>ROUND('Scales Input Table'!$X63*100,2)</f>
        <v>49.77</v>
      </c>
      <c r="F63" s="4">
        <f>'Scales Input Table'!$Y63</f>
        <v>318</v>
      </c>
      <c r="G63">
        <f>'Scales Input Table'!$I63</f>
        <v>491</v>
      </c>
      <c r="H63">
        <f>'Scales Input Table'!$G63</f>
        <v>639</v>
      </c>
      <c r="I63" t="str">
        <f>'Scales Input Table'!$J63</f>
        <v>EMPTY</v>
      </c>
    </row>
    <row r="64" spans="1:9" x14ac:dyDescent="0.25">
      <c r="A64">
        <f>'Scales Input Table'!$A64</f>
        <v>76</v>
      </c>
      <c r="B64" t="str">
        <f>'Scales Input Table'!$B64</f>
        <v>Hope College</v>
      </c>
      <c r="C64" s="6">
        <f>ROUND('Scales Input Table'!$V64*100,2)</f>
        <v>52.77</v>
      </c>
      <c r="D64" s="4">
        <f>'Scales Input Table'!$W64</f>
        <v>390</v>
      </c>
      <c r="E64" s="6">
        <f>ROUND('Scales Input Table'!$X64*100,2)</f>
        <v>49.93</v>
      </c>
      <c r="F64" s="4">
        <f>'Scales Input Table'!$Y64</f>
        <v>369</v>
      </c>
      <c r="G64">
        <f>'Scales Input Table'!$I64</f>
        <v>599</v>
      </c>
      <c r="H64">
        <f>'Scales Input Table'!$G64</f>
        <v>739</v>
      </c>
      <c r="I64" t="str">
        <f>'Scales Input Table'!$J64</f>
        <v>EMPTY</v>
      </c>
    </row>
    <row r="65" spans="1:9" x14ac:dyDescent="0.25">
      <c r="A65">
        <f>'Scales Input Table'!$A65</f>
        <v>77</v>
      </c>
      <c r="B65" t="str">
        <f>'Scales Input Table'!$B65</f>
        <v>Oakland University</v>
      </c>
      <c r="C65" s="6">
        <f>ROUND('Scales Input Table'!$V65*100,2)</f>
        <v>52.32</v>
      </c>
      <c r="D65" s="4">
        <f>'Scales Input Table'!$W65</f>
        <v>349</v>
      </c>
      <c r="E65" s="6">
        <f>ROUND('Scales Input Table'!$X65*100,2)</f>
        <v>49.78</v>
      </c>
      <c r="F65" s="4">
        <f>'Scales Input Table'!$Y65</f>
        <v>332</v>
      </c>
      <c r="G65">
        <f>'Scales Input Table'!$I65</f>
        <v>473</v>
      </c>
      <c r="H65">
        <f>'Scales Input Table'!$G65</f>
        <v>667</v>
      </c>
      <c r="I65" t="str">
        <f>'Scales Input Table'!$J65</f>
        <v>HALF</v>
      </c>
    </row>
    <row r="66" spans="1:9" x14ac:dyDescent="0.25">
      <c r="A66">
        <f>'Scales Input Table'!$A66</f>
        <v>78</v>
      </c>
      <c r="B66" t="str">
        <f>'Scales Input Table'!$B66</f>
        <v>Temple Univ</v>
      </c>
      <c r="C66" s="6">
        <f>ROUND('Scales Input Table'!$V66*100,2)</f>
        <v>50.58</v>
      </c>
      <c r="D66" s="4">
        <f>'Scales Input Table'!$W66</f>
        <v>306</v>
      </c>
      <c r="E66" s="6">
        <f>ROUND('Scales Input Table'!$X66*100,2)</f>
        <v>49.92</v>
      </c>
      <c r="F66" s="4">
        <f>'Scales Input Table'!$Y66</f>
        <v>302</v>
      </c>
      <c r="G66">
        <f>'Scales Input Table'!$I66</f>
        <v>452</v>
      </c>
      <c r="H66">
        <f>'Scales Input Table'!$G66</f>
        <v>605</v>
      </c>
      <c r="I66" t="str">
        <f>'Scales Input Table'!$J66</f>
        <v>HALF</v>
      </c>
    </row>
    <row r="67" spans="1:9" x14ac:dyDescent="0.25">
      <c r="A67">
        <f>'Scales Input Table'!$A67</f>
        <v>79</v>
      </c>
      <c r="B67" t="str">
        <f>'Scales Input Table'!$B67</f>
        <v>Georgia Southern Univ</v>
      </c>
      <c r="C67" s="6">
        <f>ROUND('Scales Input Table'!$V67*100,2)</f>
        <v>49.38</v>
      </c>
      <c r="D67" s="4">
        <f>'Scales Input Table'!$W67</f>
        <v>316</v>
      </c>
      <c r="E67" s="6">
        <f>ROUND('Scales Input Table'!$X67*100,2)</f>
        <v>49.69</v>
      </c>
      <c r="F67" s="4">
        <f>'Scales Input Table'!$Y67</f>
        <v>318</v>
      </c>
      <c r="G67">
        <f>'Scales Input Table'!$I67</f>
        <v>437</v>
      </c>
      <c r="H67">
        <f>'Scales Input Table'!$G67</f>
        <v>640</v>
      </c>
      <c r="I67" t="str">
        <f>'Scales Input Table'!$J67</f>
        <v>FULL</v>
      </c>
    </row>
    <row r="68" spans="1:9" x14ac:dyDescent="0.25">
      <c r="A68">
        <f>'Scales Input Table'!$A68</f>
        <v>80</v>
      </c>
      <c r="B68" t="str">
        <f>'Scales Input Table'!$B68</f>
        <v>Virginia Tech</v>
      </c>
      <c r="C68" s="6">
        <f>ROUND('Scales Input Table'!$V68*100,2)</f>
        <v>48.03</v>
      </c>
      <c r="D68" s="4">
        <f>'Scales Input Table'!$W68</f>
        <v>280</v>
      </c>
      <c r="E68" s="6">
        <f>ROUND('Scales Input Table'!$X68*100,2)</f>
        <v>50.09</v>
      </c>
      <c r="F68" s="4">
        <f>'Scales Input Table'!$Y68</f>
        <v>292</v>
      </c>
      <c r="G68">
        <f>'Scales Input Table'!$I68</f>
        <v>377</v>
      </c>
      <c r="H68">
        <f>'Scales Input Table'!$G68</f>
        <v>583</v>
      </c>
      <c r="I68" t="str">
        <f>'Scales Input Table'!$J68</f>
        <v>HALF</v>
      </c>
    </row>
    <row r="69" spans="1:9" x14ac:dyDescent="0.25">
      <c r="A69">
        <f>'Scales Input Table'!$A69</f>
        <v>81</v>
      </c>
      <c r="B69" t="str">
        <f>'Scales Input Table'!$B69</f>
        <v>Northwestern Univ</v>
      </c>
      <c r="C69" s="6">
        <f>ROUND('Scales Input Table'!$V69*100,2)</f>
        <v>49.44</v>
      </c>
      <c r="D69" s="4">
        <f>'Scales Input Table'!$W69</f>
        <v>308</v>
      </c>
      <c r="E69" s="6">
        <f>ROUND('Scales Input Table'!$X69*100,2)</f>
        <v>49.76</v>
      </c>
      <c r="F69" s="4">
        <f>'Scales Input Table'!$Y69</f>
        <v>310</v>
      </c>
      <c r="G69">
        <f>'Scales Input Table'!$I69</f>
        <v>458</v>
      </c>
      <c r="H69">
        <f>'Scales Input Table'!$G69</f>
        <v>623</v>
      </c>
      <c r="I69" t="str">
        <f>'Scales Input Table'!$J69</f>
        <v>HALF</v>
      </c>
    </row>
    <row r="70" spans="1:9" x14ac:dyDescent="0.25">
      <c r="A70">
        <f>'Scales Input Table'!$A70</f>
        <v>82</v>
      </c>
      <c r="B70" t="str">
        <f>'Scales Input Table'!$B70</f>
        <v>Univ of North Florida</v>
      </c>
      <c r="C70" s="6">
        <f>ROUND('Scales Input Table'!$V70*100,2)</f>
        <v>47.75</v>
      </c>
      <c r="D70" s="4">
        <f>'Scales Input Table'!$W70</f>
        <v>286</v>
      </c>
      <c r="E70" s="6">
        <f>ROUND('Scales Input Table'!$X70*100,2)</f>
        <v>50.25</v>
      </c>
      <c r="F70" s="4">
        <f>'Scales Input Table'!$Y70</f>
        <v>301</v>
      </c>
      <c r="G70">
        <f>'Scales Input Table'!$I70</f>
        <v>449</v>
      </c>
      <c r="H70">
        <f>'Scales Input Table'!$G70</f>
        <v>599</v>
      </c>
      <c r="I70" t="str">
        <f>'Scales Input Table'!$J70</f>
        <v>EMPTY</v>
      </c>
    </row>
    <row r="71" spans="1:9" x14ac:dyDescent="0.25">
      <c r="A71">
        <f>'Scales Input Table'!$A71</f>
        <v>83</v>
      </c>
      <c r="B71" t="str">
        <f>'Scales Input Table'!$B71</f>
        <v>Univ of British Columbia - Okanagan</v>
      </c>
      <c r="C71" s="6">
        <f>ROUND('Scales Input Table'!$V71*100,2)</f>
        <v>49.45</v>
      </c>
      <c r="D71" s="4">
        <f>'Scales Input Table'!$W71</f>
        <v>357</v>
      </c>
      <c r="E71" s="6">
        <f>ROUND('Scales Input Table'!$X71*100,2)</f>
        <v>50.28</v>
      </c>
      <c r="F71" s="4">
        <f>'Scales Input Table'!$Y71</f>
        <v>363</v>
      </c>
      <c r="G71">
        <f>'Scales Input Table'!$I71</f>
        <v>565</v>
      </c>
      <c r="H71">
        <f>'Scales Input Table'!$G71</f>
        <v>722</v>
      </c>
      <c r="I71" t="str">
        <f>'Scales Input Table'!$J71</f>
        <v>EMPTY</v>
      </c>
    </row>
    <row r="72" spans="1:9" x14ac:dyDescent="0.25">
      <c r="A72">
        <f>'Scales Input Table'!$A72</f>
        <v>84</v>
      </c>
      <c r="B72" t="str">
        <f>'Scales Input Table'!$B72</f>
        <v>Univ of Toronto</v>
      </c>
      <c r="C72" s="6">
        <f>ROUND('Scales Input Table'!$V72*100,2)</f>
        <v>50.95</v>
      </c>
      <c r="D72" s="4">
        <f>'Scales Input Table'!$W72</f>
        <v>267</v>
      </c>
      <c r="E72" s="6">
        <f>ROUND('Scales Input Table'!$X72*100,2)</f>
        <v>49.62</v>
      </c>
      <c r="F72" s="4">
        <f>'Scales Input Table'!$Y72</f>
        <v>260</v>
      </c>
      <c r="G72">
        <f>'Scales Input Table'!$I72</f>
        <v>364</v>
      </c>
      <c r="H72">
        <f>'Scales Input Table'!$G72</f>
        <v>524</v>
      </c>
      <c r="I72" t="str">
        <f>'Scales Input Table'!$J72</f>
        <v>EMPTY</v>
      </c>
    </row>
    <row r="73" spans="1:9" x14ac:dyDescent="0.25">
      <c r="A73">
        <f>'Scales Input Table'!$A73</f>
        <v>85</v>
      </c>
      <c r="B73" t="str">
        <f>'Scales Input Table'!$B73</f>
        <v>Wroclaw University of Technology</v>
      </c>
      <c r="C73" s="6">
        <f>ROUND('Scales Input Table'!$V73*100,2)</f>
        <v>46.52</v>
      </c>
      <c r="D73" s="4">
        <f>'Scales Input Table'!$W73</f>
        <v>247</v>
      </c>
      <c r="E73" s="6">
        <f>ROUND('Scales Input Table'!$X73*100,2)</f>
        <v>50.85</v>
      </c>
      <c r="F73" s="4">
        <f>'Scales Input Table'!$Y73</f>
        <v>270</v>
      </c>
      <c r="G73">
        <f>'Scales Input Table'!$I73</f>
        <v>415</v>
      </c>
      <c r="H73">
        <f>'Scales Input Table'!$G73</f>
        <v>531</v>
      </c>
      <c r="I73" t="str">
        <f>'Scales Input Table'!$J73</f>
        <v>EMPTY</v>
      </c>
    </row>
    <row r="74" spans="1:9" x14ac:dyDescent="0.25">
      <c r="A74">
        <f>'Scales Input Table'!$A74</f>
        <v>86</v>
      </c>
      <c r="B74" t="str">
        <f>'Scales Input Table'!$B74</f>
        <v>Wayne State Univ</v>
      </c>
      <c r="C74" s="6">
        <f>ROUND('Scales Input Table'!$V74*100,2)</f>
        <v>47.36</v>
      </c>
      <c r="D74" s="4">
        <f>'Scales Input Table'!$W74</f>
        <v>278</v>
      </c>
      <c r="E74" s="6">
        <f>ROUND('Scales Input Table'!$X74*100,2)</f>
        <v>49.91</v>
      </c>
      <c r="F74" s="4">
        <f>'Scales Input Table'!$Y74</f>
        <v>293</v>
      </c>
      <c r="G74">
        <f>'Scales Input Table'!$I74</f>
        <v>435</v>
      </c>
      <c r="H74">
        <f>'Scales Input Table'!$G74</f>
        <v>587</v>
      </c>
      <c r="I74" t="str">
        <f>'Scales Input Table'!$J74</f>
        <v>FULL</v>
      </c>
    </row>
    <row r="75" spans="1:9" x14ac:dyDescent="0.25">
      <c r="A75">
        <f>'Scales Input Table'!$A75</f>
        <v>88</v>
      </c>
      <c r="B75" t="str">
        <f>'Scales Input Table'!$B75</f>
        <v>The Ohio State University</v>
      </c>
      <c r="C75" s="6">
        <f>ROUND('Scales Input Table'!$V75*100,2)</f>
        <v>47.57</v>
      </c>
      <c r="D75" s="4">
        <f>'Scales Input Table'!$W75</f>
        <v>294</v>
      </c>
      <c r="E75" s="6">
        <f>ROUND('Scales Input Table'!$X75*100,2)</f>
        <v>50</v>
      </c>
      <c r="F75" s="4">
        <f>'Scales Input Table'!$Y75</f>
        <v>309</v>
      </c>
      <c r="G75">
        <f>'Scales Input Table'!$I75</f>
        <v>441</v>
      </c>
      <c r="H75">
        <f>'Scales Input Table'!$G75</f>
        <v>618</v>
      </c>
      <c r="I75" t="str">
        <f>'Scales Input Table'!$J75</f>
        <v>FULL</v>
      </c>
    </row>
    <row r="76" spans="1:9" x14ac:dyDescent="0.25">
      <c r="A76">
        <f>'Scales Input Table'!$A76</f>
        <v>89</v>
      </c>
      <c r="B76" t="str">
        <f>'Scales Input Table'!$B76</f>
        <v>Tennessee Tech Univ</v>
      </c>
      <c r="C76" s="6">
        <f>ROUND('Scales Input Table'!$V76*100,2)</f>
        <v>50</v>
      </c>
      <c r="D76" s="4">
        <f>'Scales Input Table'!$W76</f>
        <v>257</v>
      </c>
      <c r="E76" s="6">
        <f>ROUND('Scales Input Table'!$X76*100,2)</f>
        <v>50.19</v>
      </c>
      <c r="F76" s="4">
        <f>'Scales Input Table'!$Y76</f>
        <v>258</v>
      </c>
      <c r="G76">
        <f>'Scales Input Table'!$I76</f>
        <v>345</v>
      </c>
      <c r="H76">
        <f>'Scales Input Table'!$G76</f>
        <v>514</v>
      </c>
      <c r="I76" t="str">
        <f>'Scales Input Table'!$J76</f>
        <v>EMPTY</v>
      </c>
    </row>
    <row r="77" spans="1:9" x14ac:dyDescent="0.25">
      <c r="A77">
        <f>'Scales Input Table'!$A77</f>
        <v>90</v>
      </c>
      <c r="B77" t="str">
        <f>'Scales Input Table'!$B77</f>
        <v>Coburg University of Applied Sciences</v>
      </c>
      <c r="C77" s="6">
        <f>ROUND('Scales Input Table'!$V77*100,2)</f>
        <v>48.01</v>
      </c>
      <c r="D77" s="4">
        <f>'Scales Input Table'!$W77</f>
        <v>289</v>
      </c>
      <c r="E77" s="6">
        <f>ROUND('Scales Input Table'!$X77*100,2)</f>
        <v>49.67</v>
      </c>
      <c r="F77" s="4">
        <f>'Scales Input Table'!$Y77</f>
        <v>299</v>
      </c>
      <c r="G77">
        <f>'Scales Input Table'!$I77</f>
        <v>401</v>
      </c>
      <c r="H77">
        <f>'Scales Input Table'!$G77</f>
        <v>602</v>
      </c>
      <c r="I77" t="str">
        <f>'Scales Input Table'!$J77</f>
        <v>HALF</v>
      </c>
    </row>
    <row r="78" spans="1:9" x14ac:dyDescent="0.25">
      <c r="A78">
        <f>'Scales Input Table'!$A78</f>
        <v>91</v>
      </c>
      <c r="B78" t="str">
        <f>'Scales Input Table'!$B78</f>
        <v>Georgia Institute of Technology</v>
      </c>
      <c r="C78" s="6">
        <f>ROUND('Scales Input Table'!$V78*100,2)</f>
        <v>48.72</v>
      </c>
      <c r="D78" s="4">
        <f>'Scales Input Table'!$W78</f>
        <v>304</v>
      </c>
      <c r="E78" s="6">
        <f>ROUND('Scales Input Table'!$X78*100,2)</f>
        <v>49.68</v>
      </c>
      <c r="F78" s="4">
        <f>'Scales Input Table'!$Y78</f>
        <v>310</v>
      </c>
      <c r="G78">
        <f>'Scales Input Table'!$I78</f>
        <v>479</v>
      </c>
      <c r="H78">
        <f>'Scales Input Table'!$G78</f>
        <v>624</v>
      </c>
      <c r="I78" t="str">
        <f>'Scales Input Table'!$J78</f>
        <v>EMPTY</v>
      </c>
    </row>
    <row r="79" spans="1:9" x14ac:dyDescent="0.25">
      <c r="A79">
        <f>'Scales Input Table'!$A79</f>
        <v>92</v>
      </c>
      <c r="B79" t="str">
        <f>'Scales Input Table'!$B79</f>
        <v>Univ of Victoria</v>
      </c>
      <c r="C79" s="6">
        <f>ROUND('Scales Input Table'!$V79*100,2)</f>
        <v>48.06</v>
      </c>
      <c r="D79" s="4">
        <f>'Scales Input Table'!$W79</f>
        <v>309</v>
      </c>
      <c r="E79" s="6">
        <f>ROUND('Scales Input Table'!$X79*100,2)</f>
        <v>49.61</v>
      </c>
      <c r="F79" s="4">
        <f>'Scales Input Table'!$Y79</f>
        <v>319</v>
      </c>
      <c r="G79">
        <f>'Scales Input Table'!$I79</f>
        <v>466</v>
      </c>
      <c r="H79">
        <f>'Scales Input Table'!$G79</f>
        <v>643</v>
      </c>
      <c r="I79" t="str">
        <f>'Scales Input Table'!$J79</f>
        <v>EMPTY</v>
      </c>
    </row>
    <row r="80" spans="1:9" x14ac:dyDescent="0.25">
      <c r="A80">
        <f>'Scales Input Table'!$A80</f>
        <v>93</v>
      </c>
      <c r="B80" t="str">
        <f>'Scales Input Table'!$B80</f>
        <v>Universite Du Quebec a Trois-Rivieres</v>
      </c>
      <c r="C80" s="6">
        <f>ROUND('Scales Input Table'!$V80*100,2)</f>
        <v>48.12</v>
      </c>
      <c r="D80" s="4">
        <f>'Scales Input Table'!$W80</f>
        <v>294</v>
      </c>
      <c r="E80" s="6">
        <f>ROUND('Scales Input Table'!$X80*100,2)</f>
        <v>49.75</v>
      </c>
      <c r="F80" s="4">
        <f>'Scales Input Table'!$Y80</f>
        <v>304</v>
      </c>
      <c r="G80">
        <f>'Scales Input Table'!$I80</f>
        <v>465</v>
      </c>
      <c r="H80">
        <f>'Scales Input Table'!$G80</f>
        <v>611</v>
      </c>
      <c r="I80" t="str">
        <f>'Scales Input Table'!$J80</f>
        <v>EMPTY</v>
      </c>
    </row>
    <row r="81" spans="1:9" x14ac:dyDescent="0.25">
      <c r="A81">
        <f>'Scales Input Table'!$A81</f>
        <v>94</v>
      </c>
      <c r="B81" t="str">
        <f>'Scales Input Table'!$B81</f>
        <v>Saginaw Valley State Univ</v>
      </c>
      <c r="C81" s="6">
        <f>ROUND('Scales Input Table'!$V81*100,2)</f>
        <v>48.79</v>
      </c>
      <c r="D81" s="4">
        <f>'Scales Input Table'!$W81</f>
        <v>302</v>
      </c>
      <c r="E81" s="6">
        <f>ROUND('Scales Input Table'!$X81*100,2)</f>
        <v>50.73</v>
      </c>
      <c r="F81" s="4">
        <f>'Scales Input Table'!$Y81</f>
        <v>314</v>
      </c>
      <c r="G81">
        <f>'Scales Input Table'!$I81</f>
        <v>451</v>
      </c>
      <c r="H81">
        <f>'Scales Input Table'!$G81</f>
        <v>619</v>
      </c>
      <c r="I81" t="str">
        <f>'Scales Input Table'!$J81</f>
        <v>HALF</v>
      </c>
    </row>
    <row r="82" spans="1:9" x14ac:dyDescent="0.25">
      <c r="A82">
        <f>'Scales Input Table'!$A82</f>
        <v>95</v>
      </c>
      <c r="B82" t="str">
        <f>'Scales Input Table'!$B82</f>
        <v>Univ of Louisville</v>
      </c>
      <c r="C82" s="6" t="e">
        <f>ROUND('Scales Input Table'!$V82*100,2)</f>
        <v>#VALUE!</v>
      </c>
      <c r="D82" s="4">
        <f>'Scales Input Table'!$W82</f>
        <v>0</v>
      </c>
      <c r="E82" s="6" t="e">
        <f>ROUND('Scales Input Table'!$X82*100,2)</f>
        <v>#VALUE!</v>
      </c>
      <c r="F82" s="4">
        <f>'Scales Input Table'!$Y82</f>
        <v>0</v>
      </c>
      <c r="G82">
        <f>'Scales Input Table'!$I82</f>
        <v>0</v>
      </c>
      <c r="H82">
        <f>'Scales Input Table'!$G82</f>
        <v>0</v>
      </c>
      <c r="I82">
        <f>'Scales Input Table'!$J82</f>
        <v>0</v>
      </c>
    </row>
    <row r="83" spans="1:9" x14ac:dyDescent="0.25">
      <c r="A83">
        <f>'Scales Input Table'!$A83</f>
        <v>97</v>
      </c>
      <c r="B83" t="str">
        <f>'Scales Input Table'!$B83</f>
        <v>Washington State Univ</v>
      </c>
      <c r="C83" s="6">
        <f>ROUND('Scales Input Table'!$V83*100,2)</f>
        <v>51.88</v>
      </c>
      <c r="D83" s="4">
        <f>'Scales Input Table'!$W83</f>
        <v>413</v>
      </c>
      <c r="E83" s="6">
        <f>ROUND('Scales Input Table'!$X83*100,2)</f>
        <v>50</v>
      </c>
      <c r="F83" s="4">
        <f>'Scales Input Table'!$Y83</f>
        <v>398</v>
      </c>
      <c r="G83">
        <f>'Scales Input Table'!$I83</f>
        <v>555</v>
      </c>
      <c r="H83">
        <f>'Scales Input Table'!$G83</f>
        <v>796</v>
      </c>
      <c r="I83" t="str">
        <f>'Scales Input Table'!$J83</f>
        <v>EMPTY</v>
      </c>
    </row>
    <row r="84" spans="1:9" x14ac:dyDescent="0.25">
      <c r="A84">
        <f>'Scales Input Table'!$A84</f>
        <v>98</v>
      </c>
      <c r="B84" t="str">
        <f>'Scales Input Table'!$B84</f>
        <v>Universidad Metropolitana</v>
      </c>
      <c r="C84" s="6">
        <f>ROUND('Scales Input Table'!$V84*100,2)</f>
        <v>53.55</v>
      </c>
      <c r="D84" s="4">
        <f>'Scales Input Table'!$W84</f>
        <v>422</v>
      </c>
      <c r="E84" s="6">
        <f>ROUND('Scales Input Table'!$X84*100,2)</f>
        <v>50.38</v>
      </c>
      <c r="F84" s="4">
        <f>'Scales Input Table'!$Y84</f>
        <v>397</v>
      </c>
      <c r="G84">
        <f>'Scales Input Table'!$I84</f>
        <v>561</v>
      </c>
      <c r="H84">
        <f>'Scales Input Table'!$G84</f>
        <v>788</v>
      </c>
      <c r="I84" t="str">
        <f>'Scales Input Table'!$J84</f>
        <v>EMPTY</v>
      </c>
    </row>
    <row r="85" spans="1:9" x14ac:dyDescent="0.25">
      <c r="A85">
        <f>'Scales Input Table'!$A85</f>
        <v>99</v>
      </c>
      <c r="B85" t="str">
        <f>'Scales Input Table'!$B85</f>
        <v>York College of Pennsylvania</v>
      </c>
      <c r="C85" s="6">
        <f>ROUND('Scales Input Table'!$V85*100,2)</f>
        <v>54.89</v>
      </c>
      <c r="D85" s="4">
        <f>'Scales Input Table'!$W85</f>
        <v>331</v>
      </c>
      <c r="E85" s="6">
        <f>ROUND('Scales Input Table'!$X85*100,2)</f>
        <v>49.59</v>
      </c>
      <c r="F85" s="4">
        <f>'Scales Input Table'!$Y85</f>
        <v>299</v>
      </c>
      <c r="G85">
        <f>'Scales Input Table'!$I85</f>
        <v>403</v>
      </c>
      <c r="H85">
        <f>'Scales Input Table'!$G85</f>
        <v>603</v>
      </c>
      <c r="I85" t="str">
        <f>'Scales Input Table'!$J85</f>
        <v>EMPTY</v>
      </c>
    </row>
    <row r="86" spans="1:9" x14ac:dyDescent="0.25">
      <c r="A86">
        <f>'Scales Input Table'!$A86</f>
        <v>100</v>
      </c>
      <c r="B86" t="str">
        <f>'Scales Input Table'!$B86</f>
        <v>Clarkson University</v>
      </c>
      <c r="C86" s="6">
        <f>ROUND('Scales Input Table'!$V86*100,2)</f>
        <v>52.11</v>
      </c>
      <c r="D86" s="4">
        <f>'Scales Input Table'!$W86</f>
        <v>334</v>
      </c>
      <c r="E86" s="6">
        <f>ROUND('Scales Input Table'!$X86*100,2)</f>
        <v>49.77</v>
      </c>
      <c r="F86" s="4">
        <f>'Scales Input Table'!$Y86</f>
        <v>319</v>
      </c>
      <c r="G86">
        <f>'Scales Input Table'!$I86</f>
        <v>483</v>
      </c>
      <c r="H86">
        <f>'Scales Input Table'!$G86</f>
        <v>641</v>
      </c>
      <c r="I86" t="str">
        <f>'Scales Input Table'!$J86</f>
        <v>FULL</v>
      </c>
    </row>
    <row r="87" spans="1:9" x14ac:dyDescent="0.25">
      <c r="A87">
        <f>'Scales Input Table'!$A87</f>
        <v>101</v>
      </c>
      <c r="B87" t="str">
        <f>'Scales Input Table'!$B87</f>
        <v>Mississippi State Univ</v>
      </c>
      <c r="C87" s="6">
        <f>ROUND('Scales Input Table'!$V87*100,2)</f>
        <v>49.33</v>
      </c>
      <c r="D87" s="4">
        <f>'Scales Input Table'!$W87</f>
        <v>296</v>
      </c>
      <c r="E87" s="6">
        <f>ROUND('Scales Input Table'!$X87*100,2)</f>
        <v>50.67</v>
      </c>
      <c r="F87" s="4">
        <f>'Scales Input Table'!$Y87</f>
        <v>304</v>
      </c>
      <c r="G87">
        <f>'Scales Input Table'!$I87</f>
        <v>463</v>
      </c>
      <c r="H87">
        <f>'Scales Input Table'!$G87</f>
        <v>600</v>
      </c>
      <c r="I87" t="str">
        <f>'Scales Input Table'!$J87</f>
        <v>HALF</v>
      </c>
    </row>
    <row r="88" spans="1:9" x14ac:dyDescent="0.25">
      <c r="A88">
        <f>'Scales Input Table'!$A88</f>
        <v>102</v>
      </c>
      <c r="B88" t="str">
        <f>'Scales Input Table'!$B88</f>
        <v>Lawrence Technological Univ</v>
      </c>
      <c r="C88" s="6">
        <f>ROUND('Scales Input Table'!$V88*100,2)</f>
        <v>50.89</v>
      </c>
      <c r="D88" s="4">
        <f>'Scales Input Table'!$W88</f>
        <v>371</v>
      </c>
      <c r="E88" s="6">
        <f>ROUND('Scales Input Table'!$X88*100,2)</f>
        <v>50.48</v>
      </c>
      <c r="F88" s="4">
        <f>'Scales Input Table'!$Y88</f>
        <v>368</v>
      </c>
      <c r="G88">
        <f>'Scales Input Table'!$I88</f>
        <v>549</v>
      </c>
      <c r="H88">
        <f>'Scales Input Table'!$G88</f>
        <v>729</v>
      </c>
      <c r="I88" t="str">
        <f>'Scales Input Table'!$J88</f>
        <v>EMPTY</v>
      </c>
    </row>
    <row r="89" spans="1:9" x14ac:dyDescent="0.25">
      <c r="A89">
        <f>'Scales Input Table'!$A89</f>
        <v>103</v>
      </c>
      <c r="B89" t="str">
        <f>'Scales Input Table'!$B89</f>
        <v>Texas Tech Univ</v>
      </c>
      <c r="C89" s="6">
        <f>ROUND('Scales Input Table'!$V89*100,2)</f>
        <v>49.34</v>
      </c>
      <c r="D89" s="4">
        <f>'Scales Input Table'!$W89</f>
        <v>300</v>
      </c>
      <c r="E89" s="6">
        <f>ROUND('Scales Input Table'!$X89*100,2)</f>
        <v>50</v>
      </c>
      <c r="F89" s="4">
        <f>'Scales Input Table'!$Y89</f>
        <v>304</v>
      </c>
      <c r="G89">
        <f>'Scales Input Table'!$I89</f>
        <v>431</v>
      </c>
      <c r="H89">
        <f>'Scales Input Table'!$G89</f>
        <v>608</v>
      </c>
      <c r="I89" t="str">
        <f>'Scales Input Table'!$J89</f>
        <v>HALF</v>
      </c>
    </row>
    <row r="90" spans="1:9" x14ac:dyDescent="0.25">
      <c r="A90">
        <f>'Scales Input Table'!$A90</f>
        <v>104</v>
      </c>
      <c r="B90" t="str">
        <f>'Scales Input Table'!$B90</f>
        <v>South Dakota School of Mines &amp; Tech</v>
      </c>
      <c r="C90" s="6">
        <f>ROUND('Scales Input Table'!$V90*100,2)</f>
        <v>50.14</v>
      </c>
      <c r="D90" s="4">
        <f>'Scales Input Table'!$W90</f>
        <v>354</v>
      </c>
      <c r="E90" s="6">
        <f>ROUND('Scales Input Table'!$X90*100,2)</f>
        <v>50.42</v>
      </c>
      <c r="F90" s="4">
        <f>'Scales Input Table'!$Y90</f>
        <v>356</v>
      </c>
      <c r="G90">
        <f>'Scales Input Table'!$I90</f>
        <v>469</v>
      </c>
      <c r="H90">
        <f>'Scales Input Table'!$G90</f>
        <v>706</v>
      </c>
      <c r="I90" t="str">
        <f>'Scales Input Table'!$J90</f>
        <v>EMPTY</v>
      </c>
    </row>
    <row r="91" spans="1:9" x14ac:dyDescent="0.25">
      <c r="A91">
        <f>'Scales Input Table'!$A91</f>
        <v>105</v>
      </c>
      <c r="B91" t="str">
        <f>'Scales Input Table'!$B91</f>
        <v>Worcester Polytechnic Inst</v>
      </c>
      <c r="C91" s="6">
        <f>ROUND('Scales Input Table'!$V91*100,2)</f>
        <v>50.97</v>
      </c>
      <c r="D91" s="4">
        <f>'Scales Input Table'!$W91</f>
        <v>288</v>
      </c>
      <c r="E91" s="6">
        <f>ROUND('Scales Input Table'!$X91*100,2)</f>
        <v>50.09</v>
      </c>
      <c r="F91" s="4">
        <f>'Scales Input Table'!$Y91</f>
        <v>283</v>
      </c>
      <c r="G91">
        <f>'Scales Input Table'!$I91</f>
        <v>416</v>
      </c>
      <c r="H91">
        <f>'Scales Input Table'!$G91</f>
        <v>565</v>
      </c>
      <c r="I91" t="str">
        <f>'Scales Input Table'!$J91</f>
        <v>EMPTY</v>
      </c>
    </row>
    <row r="92" spans="1:9" x14ac:dyDescent="0.25">
      <c r="A92">
        <f>'Scales Input Table'!$A92</f>
        <v>106</v>
      </c>
      <c r="B92" t="str">
        <f>'Scales Input Table'!$B92</f>
        <v>Kettering Univ</v>
      </c>
      <c r="C92" s="6">
        <f>ROUND('Scales Input Table'!$V92*100,2)</f>
        <v>43.34</v>
      </c>
      <c r="D92" s="4">
        <f>'Scales Input Table'!$W92</f>
        <v>218</v>
      </c>
      <c r="E92" s="6">
        <f>ROUND('Scales Input Table'!$X92*100,2)</f>
        <v>49.5</v>
      </c>
      <c r="F92" s="4">
        <f>'Scales Input Table'!$Y92</f>
        <v>249</v>
      </c>
      <c r="G92">
        <f>'Scales Input Table'!$I92</f>
        <v>343</v>
      </c>
      <c r="H92">
        <f>'Scales Input Table'!$G92</f>
        <v>503</v>
      </c>
      <c r="I92" t="str">
        <f>'Scales Input Table'!$J92</f>
        <v>HALF</v>
      </c>
    </row>
    <row r="93" spans="1:9" x14ac:dyDescent="0.25">
      <c r="A93">
        <f>'Scales Input Table'!$A93</f>
        <v>107</v>
      </c>
      <c r="B93" t="str">
        <f>'Scales Input Table'!$B93</f>
        <v>Univ of South Florida</v>
      </c>
      <c r="C93" s="6">
        <f>ROUND('Scales Input Table'!$V93*100,2)</f>
        <v>43.49</v>
      </c>
      <c r="D93" s="4">
        <f>'Scales Input Table'!$W93</f>
        <v>244</v>
      </c>
      <c r="E93" s="6">
        <f>ROUND('Scales Input Table'!$X93*100,2)</f>
        <v>50.45</v>
      </c>
      <c r="F93" s="4">
        <f>'Scales Input Table'!$Y93</f>
        <v>283</v>
      </c>
      <c r="G93">
        <f>'Scales Input Table'!$I93</f>
        <v>437</v>
      </c>
      <c r="H93">
        <f>'Scales Input Table'!$G93</f>
        <v>561</v>
      </c>
      <c r="I93" t="str">
        <f>'Scales Input Table'!$J93</f>
        <v>HALF</v>
      </c>
    </row>
    <row r="94" spans="1:9" x14ac:dyDescent="0.25">
      <c r="A94">
        <f>'Scales Input Table'!$A94</f>
        <v>108</v>
      </c>
      <c r="B94" t="str">
        <f>'Scales Input Table'!$B94</f>
        <v>Colorado Mesa University</v>
      </c>
      <c r="C94" s="6">
        <f>ROUND('Scales Input Table'!$V94*100,2)</f>
        <v>51.62</v>
      </c>
      <c r="D94" s="4">
        <f>'Scales Input Table'!$W94</f>
        <v>334</v>
      </c>
      <c r="E94" s="6">
        <f>ROUND('Scales Input Table'!$X94*100,2)</f>
        <v>50.7</v>
      </c>
      <c r="F94" s="4">
        <f>'Scales Input Table'!$Y94</f>
        <v>328</v>
      </c>
      <c r="G94">
        <f>'Scales Input Table'!$I94</f>
        <v>498</v>
      </c>
      <c r="H94">
        <f>'Scales Input Table'!$G94</f>
        <v>647</v>
      </c>
      <c r="I94" t="str">
        <f>'Scales Input Table'!$J94</f>
        <v>HALF</v>
      </c>
    </row>
    <row r="95" spans="1:9" x14ac:dyDescent="0.25">
      <c r="A95">
        <f>'Scales Input Table'!$A95</f>
        <v>109</v>
      </c>
      <c r="B95" t="str">
        <f>'Scales Input Table'!$B95</f>
        <v>US Air Force Academy</v>
      </c>
      <c r="C95" s="6">
        <f>ROUND('Scales Input Table'!$V95*100,2)</f>
        <v>49.85</v>
      </c>
      <c r="D95" s="4">
        <f>'Scales Input Table'!$W95</f>
        <v>325</v>
      </c>
      <c r="E95" s="6">
        <f>ROUND('Scales Input Table'!$X95*100,2)</f>
        <v>49.23</v>
      </c>
      <c r="F95" s="4">
        <f>'Scales Input Table'!$Y95</f>
        <v>321</v>
      </c>
      <c r="G95">
        <f>'Scales Input Table'!$I95</f>
        <v>464</v>
      </c>
      <c r="H95">
        <f>'Scales Input Table'!$G95</f>
        <v>652</v>
      </c>
      <c r="I95" t="str">
        <f>'Scales Input Table'!$J95</f>
        <v>FULL</v>
      </c>
    </row>
    <row r="96" spans="1:9" x14ac:dyDescent="0.25">
      <c r="A96">
        <f>'Scales Input Table'!$A96</f>
        <v>110</v>
      </c>
      <c r="B96" t="str">
        <f>'Scales Input Table'!$B96</f>
        <v>US Naval Academy</v>
      </c>
      <c r="C96" s="6">
        <f>ROUND('Scales Input Table'!$V96*100,2)</f>
        <v>47.25</v>
      </c>
      <c r="D96" s="4">
        <f>'Scales Input Table'!$W96</f>
        <v>318</v>
      </c>
      <c r="E96" s="6">
        <f>ROUND('Scales Input Table'!$X96*100,2)</f>
        <v>48.74</v>
      </c>
      <c r="F96" s="4">
        <f>'Scales Input Table'!$Y96</f>
        <v>328</v>
      </c>
      <c r="G96">
        <f>'Scales Input Table'!$I96</f>
        <v>465</v>
      </c>
      <c r="H96">
        <f>'Scales Input Table'!$G96</f>
        <v>673</v>
      </c>
      <c r="I96" t="str">
        <f>'Scales Input Table'!$J96</f>
        <v>EMPTY</v>
      </c>
    </row>
    <row r="97" spans="1:9" x14ac:dyDescent="0.25">
      <c r="A97">
        <f>'Scales Input Table'!$A97</f>
        <v>111</v>
      </c>
      <c r="B97" t="str">
        <f>'Scales Input Table'!$B97</f>
        <v>Lakehead Univ</v>
      </c>
      <c r="C97" s="6">
        <f>ROUND('Scales Input Table'!$V97*100,2)</f>
        <v>49.11</v>
      </c>
      <c r="D97" s="4">
        <f>'Scales Input Table'!$W97</f>
        <v>330</v>
      </c>
      <c r="E97" s="6">
        <f>ROUND('Scales Input Table'!$X97*100,2)</f>
        <v>49.7</v>
      </c>
      <c r="F97" s="4">
        <f>'Scales Input Table'!$Y97</f>
        <v>334</v>
      </c>
      <c r="G97">
        <f>'Scales Input Table'!$I97</f>
        <v>545</v>
      </c>
      <c r="H97">
        <f>'Scales Input Table'!$G97</f>
        <v>672</v>
      </c>
      <c r="I97" t="str">
        <f>'Scales Input Table'!$J97</f>
        <v>FULL</v>
      </c>
    </row>
    <row r="98" spans="1:9" x14ac:dyDescent="0.25">
      <c r="A98">
        <f>'Scales Input Table'!$A98</f>
        <v>112</v>
      </c>
      <c r="B98" t="str">
        <f>'Scales Input Table'!$B98</f>
        <v>Alabama A &amp; M Univ</v>
      </c>
      <c r="C98" s="6" t="e">
        <f>ROUND('Scales Input Table'!$V98*100,2)</f>
        <v>#VALUE!</v>
      </c>
      <c r="D98" s="4">
        <f>'Scales Input Table'!$W98</f>
        <v>0</v>
      </c>
      <c r="E98" s="6" t="e">
        <f>ROUND('Scales Input Table'!$X98*100,2)</f>
        <v>#VALUE!</v>
      </c>
      <c r="F98" s="4">
        <f>'Scales Input Table'!$Y98</f>
        <v>0</v>
      </c>
      <c r="G98">
        <f>'Scales Input Table'!$I98</f>
        <v>0</v>
      </c>
      <c r="H98">
        <f>'Scales Input Table'!$G98</f>
        <v>0</v>
      </c>
      <c r="I98">
        <f>'Scales Input Table'!$J98</f>
        <v>0</v>
      </c>
    </row>
    <row r="99" spans="1:9" x14ac:dyDescent="0.25">
      <c r="A99">
        <f>'Scales Input Table'!$A99</f>
        <v>113</v>
      </c>
      <c r="B99" t="str">
        <f>'Scales Input Table'!$B99</f>
        <v>Dalhousie Univ</v>
      </c>
      <c r="C99" s="6">
        <f>ROUND('Scales Input Table'!$V99*100,2)</f>
        <v>48.5</v>
      </c>
      <c r="D99" s="4">
        <f>'Scales Input Table'!$W99</f>
        <v>259</v>
      </c>
      <c r="E99" s="6">
        <f>ROUND('Scales Input Table'!$X99*100,2)</f>
        <v>49.81</v>
      </c>
      <c r="F99" s="4">
        <f>'Scales Input Table'!$Y99</f>
        <v>266</v>
      </c>
      <c r="G99">
        <f>'Scales Input Table'!$I99</f>
        <v>370</v>
      </c>
      <c r="H99">
        <f>'Scales Input Table'!$G99</f>
        <v>534</v>
      </c>
      <c r="I99" t="str">
        <f>'Scales Input Table'!$J99</f>
        <v>EMPTY</v>
      </c>
    </row>
    <row r="100" spans="1:9" x14ac:dyDescent="0.25">
      <c r="A100">
        <f>'Scales Input Table'!$A100</f>
        <v>114</v>
      </c>
      <c r="B100" t="str">
        <f>'Scales Input Table'!$B100</f>
        <v>Binghamton Univ</v>
      </c>
      <c r="C100" s="6">
        <f>ROUND('Scales Input Table'!$V100*100,2)</f>
        <v>47.08</v>
      </c>
      <c r="D100" s="4">
        <f>'Scales Input Table'!$W100</f>
        <v>379</v>
      </c>
      <c r="E100" s="6">
        <f>ROUND('Scales Input Table'!$X100*100,2)</f>
        <v>50.56</v>
      </c>
      <c r="F100" s="4">
        <f>'Scales Input Table'!$Y100</f>
        <v>407</v>
      </c>
      <c r="G100">
        <f>'Scales Input Table'!$I100</f>
        <v>661</v>
      </c>
      <c r="H100">
        <f>'Scales Input Table'!$G100</f>
        <v>805</v>
      </c>
      <c r="I100" t="str">
        <f>'Scales Input Table'!$J100</f>
        <v>EMPTY</v>
      </c>
    </row>
    <row r="101" spans="1:9" x14ac:dyDescent="0.25">
      <c r="A101">
        <f>'Scales Input Table'!$A101</f>
        <v>115</v>
      </c>
      <c r="B101" t="str">
        <f>'Scales Input Table'!$B101</f>
        <v>Univ of British Columbia</v>
      </c>
      <c r="C101" s="6">
        <f>ROUND('Scales Input Table'!$V101*100,2)</f>
        <v>51.03</v>
      </c>
      <c r="D101" s="4">
        <f>'Scales Input Table'!$W101</f>
        <v>323</v>
      </c>
      <c r="E101" s="6">
        <f>ROUND('Scales Input Table'!$X101*100,2)</f>
        <v>51.34</v>
      </c>
      <c r="F101" s="4">
        <f>'Scales Input Table'!$Y101</f>
        <v>325</v>
      </c>
      <c r="G101">
        <f>'Scales Input Table'!$I101</f>
        <v>451</v>
      </c>
      <c r="H101">
        <f>'Scales Input Table'!$G101</f>
        <v>633</v>
      </c>
      <c r="I101" t="str">
        <f>'Scales Input Table'!$J101</f>
        <v>HALF</v>
      </c>
    </row>
    <row r="102" spans="1:9" x14ac:dyDescent="0.25">
      <c r="A102">
        <f>'Scales Input Table'!$A102</f>
        <v>116</v>
      </c>
      <c r="B102" t="str">
        <f>'Scales Input Table'!$B102</f>
        <v>West Virginia Univ</v>
      </c>
      <c r="C102" s="6" t="e">
        <f>ROUND('Scales Input Table'!$V102*100,2)</f>
        <v>#VALUE!</v>
      </c>
      <c r="D102" s="4">
        <f>'Scales Input Table'!$W102</f>
        <v>0</v>
      </c>
      <c r="E102" s="6" t="e">
        <f>ROUND('Scales Input Table'!$X102*100,2)</f>
        <v>#VALUE!</v>
      </c>
      <c r="F102" s="4">
        <f>'Scales Input Table'!$Y102</f>
        <v>0</v>
      </c>
      <c r="G102">
        <f>'Scales Input Table'!$I102</f>
        <v>0</v>
      </c>
      <c r="H102">
        <f>'Scales Input Table'!$G102</f>
        <v>0</v>
      </c>
      <c r="I102">
        <f>'Scales Input Table'!$J102</f>
        <v>0</v>
      </c>
    </row>
    <row r="103" spans="1:9" x14ac:dyDescent="0.25">
      <c r="A103">
        <f>'Scales Input Table'!$A103</f>
        <v>117</v>
      </c>
      <c r="B103" t="str">
        <f>'Scales Input Table'!$B103</f>
        <v>Columbia Univ</v>
      </c>
      <c r="C103" s="6">
        <f>ROUND('Scales Input Table'!$V103*100,2)</f>
        <v>47.97</v>
      </c>
      <c r="D103" s="4">
        <f>'Scales Input Table'!$W103</f>
        <v>330</v>
      </c>
      <c r="E103" s="6">
        <f>ROUND('Scales Input Table'!$X103*100,2)</f>
        <v>49.71</v>
      </c>
      <c r="F103" s="4">
        <f>'Scales Input Table'!$Y103</f>
        <v>342</v>
      </c>
      <c r="G103">
        <f>'Scales Input Table'!$I103</f>
        <v>500</v>
      </c>
      <c r="H103">
        <f>'Scales Input Table'!$G103</f>
        <v>688</v>
      </c>
      <c r="I103" t="str">
        <f>'Scales Input Table'!$J103</f>
        <v>EMPTY</v>
      </c>
    </row>
    <row r="104" spans="1:9" x14ac:dyDescent="0.25">
      <c r="A104">
        <f>'Scales Input Table'!$A104</f>
        <v>118</v>
      </c>
      <c r="B104" t="str">
        <f>'Scales Input Table'!$B104</f>
        <v>Cooper Union</v>
      </c>
      <c r="C104" s="6">
        <f>ROUND('Scales Input Table'!$V104*100,2)</f>
        <v>49.61</v>
      </c>
      <c r="D104" s="4">
        <f>'Scales Input Table'!$W104</f>
        <v>321</v>
      </c>
      <c r="E104" s="6">
        <f>ROUND('Scales Input Table'!$X104*100,2)</f>
        <v>49.77</v>
      </c>
      <c r="F104" s="4">
        <f>'Scales Input Table'!$Y104</f>
        <v>322</v>
      </c>
      <c r="G104">
        <f>'Scales Input Table'!$I104</f>
        <v>470</v>
      </c>
      <c r="H104">
        <f>'Scales Input Table'!$G104</f>
        <v>647</v>
      </c>
      <c r="I104" t="str">
        <f>'Scales Input Table'!$J104</f>
        <v>HALF</v>
      </c>
    </row>
    <row r="105" spans="1:9" x14ac:dyDescent="0.25">
      <c r="A105">
        <f>'Scales Input Table'!$A105</f>
        <v>119</v>
      </c>
      <c r="B105" t="str">
        <f>'Scales Input Table'!$B105</f>
        <v>Duke Univ</v>
      </c>
      <c r="C105" s="6">
        <f>ROUND('Scales Input Table'!$V105*100,2)</f>
        <v>47.21</v>
      </c>
      <c r="D105" s="4">
        <f>'Scales Input Table'!$W105</f>
        <v>271</v>
      </c>
      <c r="E105" s="6">
        <f>ROUND('Scales Input Table'!$X105*100,2)</f>
        <v>50.17</v>
      </c>
      <c r="F105" s="4">
        <f>'Scales Input Table'!$Y105</f>
        <v>288</v>
      </c>
      <c r="G105">
        <f>'Scales Input Table'!$I105</f>
        <v>422</v>
      </c>
      <c r="H105">
        <f>'Scales Input Table'!$G105</f>
        <v>574</v>
      </c>
      <c r="I105" t="str">
        <f>'Scales Input Table'!$J105</f>
        <v>FULL</v>
      </c>
    </row>
    <row r="106" spans="1:9" x14ac:dyDescent="0.25">
      <c r="A106">
        <f>'Scales Input Table'!$A106</f>
        <v>120</v>
      </c>
      <c r="B106" t="str">
        <f>'Scales Input Table'!$B106</f>
        <v>Universidad Autonoma Estado Mexico</v>
      </c>
      <c r="C106" s="6" t="e">
        <f>ROUND('Scales Input Table'!$V106*100,2)</f>
        <v>#VALUE!</v>
      </c>
      <c r="D106" s="4">
        <f>'Scales Input Table'!$W106</f>
        <v>0</v>
      </c>
      <c r="E106" s="6" t="e">
        <f>ROUND('Scales Input Table'!$X106*100,2)</f>
        <v>#VALUE!</v>
      </c>
      <c r="F106" s="4">
        <f>'Scales Input Table'!$Y106</f>
        <v>0</v>
      </c>
      <c r="G106">
        <f>'Scales Input Table'!$I106</f>
        <v>0</v>
      </c>
      <c r="H106">
        <f>'Scales Input Table'!$G106</f>
        <v>0</v>
      </c>
      <c r="I106">
        <f>'Scales Input Table'!$J106</f>
        <v>0</v>
      </c>
    </row>
    <row r="107" spans="1:9" x14ac:dyDescent="0.25">
      <c r="A107">
        <f>'Scales Input Table'!$A107</f>
        <v>122</v>
      </c>
      <c r="B107" t="str">
        <f>'Scales Input Table'!$B107</f>
        <v>Florida Atlantic Univ</v>
      </c>
      <c r="C107" s="6">
        <f>ROUND('Scales Input Table'!$V107*100,2)</f>
        <v>48.28</v>
      </c>
      <c r="D107" s="4">
        <f>'Scales Input Table'!$W107</f>
        <v>322</v>
      </c>
      <c r="E107" s="6">
        <f>ROUND('Scales Input Table'!$X107*100,2)</f>
        <v>50.22</v>
      </c>
      <c r="F107" s="4">
        <f>'Scales Input Table'!$Y107</f>
        <v>335</v>
      </c>
      <c r="G107">
        <f>'Scales Input Table'!$I107</f>
        <v>491</v>
      </c>
      <c r="H107">
        <f>'Scales Input Table'!$G107</f>
        <v>667</v>
      </c>
      <c r="I107" t="str">
        <f>'Scales Input Table'!$J107</f>
        <v>FULL</v>
      </c>
    </row>
    <row r="108" spans="1:9" x14ac:dyDescent="0.25">
      <c r="A108">
        <f>'Scales Input Table'!$A108</f>
        <v>123</v>
      </c>
      <c r="B108" t="str">
        <f>'Scales Input Table'!$B108</f>
        <v>Villanova Univ</v>
      </c>
      <c r="C108" s="6">
        <f>ROUND('Scales Input Table'!$V108*100,2)</f>
        <v>48.69</v>
      </c>
      <c r="D108" s="4">
        <f>'Scales Input Table'!$W108</f>
        <v>278</v>
      </c>
      <c r="E108" s="6">
        <f>ROUND('Scales Input Table'!$X108*100,2)</f>
        <v>49.91</v>
      </c>
      <c r="F108" s="4">
        <f>'Scales Input Table'!$Y108</f>
        <v>285</v>
      </c>
      <c r="G108">
        <f>'Scales Input Table'!$I108</f>
        <v>425</v>
      </c>
      <c r="H108">
        <f>'Scales Input Table'!$G108</f>
        <v>571</v>
      </c>
      <c r="I108" t="str">
        <f>'Scales Input Table'!$J108</f>
        <v>EMPTY</v>
      </c>
    </row>
    <row r="109" spans="1:9" x14ac:dyDescent="0.25">
      <c r="A109">
        <f>'Scales Input Table'!$A109</f>
        <v>124</v>
      </c>
      <c r="B109" t="str">
        <f>'Scales Input Table'!$B109</f>
        <v>Univ of Nebraska - Lincoln</v>
      </c>
      <c r="C109" s="6">
        <f>ROUND('Scales Input Table'!$V109*100,2)</f>
        <v>47.32</v>
      </c>
      <c r="D109" s="4">
        <f>'Scales Input Table'!$W109</f>
        <v>300</v>
      </c>
      <c r="E109" s="6">
        <f>ROUND('Scales Input Table'!$X109*100,2)</f>
        <v>50.47</v>
      </c>
      <c r="F109" s="4">
        <f>'Scales Input Table'!$Y109</f>
        <v>320</v>
      </c>
      <c r="G109">
        <f>'Scales Input Table'!$I109</f>
        <v>464</v>
      </c>
      <c r="H109">
        <f>'Scales Input Table'!$G109</f>
        <v>634</v>
      </c>
      <c r="I109" t="str">
        <f>'Scales Input Table'!$J109</f>
        <v>HALF</v>
      </c>
    </row>
    <row r="110" spans="1:9" x14ac:dyDescent="0.25">
      <c r="A110">
        <f>'Scales Input Table'!$A110</f>
        <v>125</v>
      </c>
      <c r="B110" t="str">
        <f>'Scales Input Table'!$B110</f>
        <v>South Dakota State Univ</v>
      </c>
      <c r="C110" s="6">
        <f>ROUND('Scales Input Table'!$V110*100,2)</f>
        <v>49.15</v>
      </c>
      <c r="D110" s="4">
        <f>'Scales Input Table'!$W110</f>
        <v>319</v>
      </c>
      <c r="E110" s="6">
        <f>ROUND('Scales Input Table'!$X110*100,2)</f>
        <v>49.46</v>
      </c>
      <c r="F110" s="4">
        <f>'Scales Input Table'!$Y110</f>
        <v>321</v>
      </c>
      <c r="G110">
        <f>'Scales Input Table'!$I110</f>
        <v>467</v>
      </c>
      <c r="H110">
        <f>'Scales Input Table'!$G110</f>
        <v>649</v>
      </c>
      <c r="I110" t="str">
        <f>'Scales Input Table'!$J110</f>
        <v>HALF</v>
      </c>
    </row>
    <row r="111" spans="1:9" x14ac:dyDescent="0.25">
      <c r="A111">
        <f>'Scales Input Table'!$A111</f>
        <v>126</v>
      </c>
      <c r="B111" t="str">
        <f>'Scales Input Table'!$B111</f>
        <v>Univ of Kansas - Lawrence</v>
      </c>
      <c r="C111" s="6">
        <f>ROUND('Scales Input Table'!$V111*100,2)</f>
        <v>45.77</v>
      </c>
      <c r="D111" s="4">
        <f>'Scales Input Table'!$W111</f>
        <v>281</v>
      </c>
      <c r="E111" s="6">
        <f>ROUND('Scales Input Table'!$X111*100,2)</f>
        <v>50.65</v>
      </c>
      <c r="F111" s="4">
        <f>'Scales Input Table'!$Y111</f>
        <v>311</v>
      </c>
      <c r="G111">
        <f>'Scales Input Table'!$I111</f>
        <v>465</v>
      </c>
      <c r="H111">
        <f>'Scales Input Table'!$G111</f>
        <v>614</v>
      </c>
      <c r="I111" t="str">
        <f>'Scales Input Table'!$J111</f>
        <v>EMPTY</v>
      </c>
    </row>
    <row r="112" spans="1:9" x14ac:dyDescent="0.25">
      <c r="A112">
        <f>'Scales Input Table'!$A112</f>
        <v>131</v>
      </c>
      <c r="B112" t="str">
        <f>'Scales Input Table'!$B112</f>
        <v>Polytechnic Univ of Puerto Rico</v>
      </c>
      <c r="C112" s="6">
        <f>ROUND('Scales Input Table'!$V112*100,2)</f>
        <v>52.12</v>
      </c>
      <c r="D112" s="4">
        <f>'Scales Input Table'!$W112</f>
        <v>468</v>
      </c>
      <c r="E112" s="6">
        <f>ROUND('Scales Input Table'!$X112*100,2)</f>
        <v>50.56</v>
      </c>
      <c r="F112" s="4">
        <f>'Scales Input Table'!$Y112</f>
        <v>454</v>
      </c>
      <c r="G112">
        <f>'Scales Input Table'!$I112</f>
        <v>712</v>
      </c>
      <c r="H112">
        <f>'Scales Input Table'!$G112</f>
        <v>898</v>
      </c>
      <c r="I112" t="str">
        <f>'Scales Input Table'!$J112</f>
        <v>EMPTY</v>
      </c>
    </row>
    <row r="113" spans="1:9" x14ac:dyDescent="0.25">
      <c r="A113">
        <f>'Scales Input Table'!$A113</f>
        <v>132</v>
      </c>
      <c r="B113" t="str">
        <f>'Scales Input Table'!$B113</f>
        <v>Univ of Pittsburgh - Pittsburgh</v>
      </c>
      <c r="C113" s="6">
        <f>ROUND('Scales Input Table'!$V113*100,2)</f>
        <v>44.44</v>
      </c>
      <c r="D113" s="4">
        <f>'Scales Input Table'!$W113</f>
        <v>284</v>
      </c>
      <c r="E113" s="6">
        <f>ROUND('Scales Input Table'!$X113*100,2)</f>
        <v>49.61</v>
      </c>
      <c r="F113" s="4">
        <f>'Scales Input Table'!$Y113</f>
        <v>317</v>
      </c>
      <c r="G113">
        <f>'Scales Input Table'!$I113</f>
        <v>469</v>
      </c>
      <c r="H113">
        <f>'Scales Input Table'!$G113</f>
        <v>639</v>
      </c>
      <c r="I113" t="str">
        <f>'Scales Input Table'!$J113</f>
        <v>HALF</v>
      </c>
    </row>
    <row r="114" spans="1:9" x14ac:dyDescent="0.25">
      <c r="A114">
        <f>'Scales Input Table'!$A114</f>
        <v>139</v>
      </c>
      <c r="B114" t="str">
        <f>'Scales Input Table'!$B114</f>
        <v>CEFET-MG</v>
      </c>
      <c r="C114" s="6">
        <f>ROUND('Scales Input Table'!$V114*100,2)</f>
        <v>49.51</v>
      </c>
      <c r="D114" s="4">
        <f>'Scales Input Table'!$W114</f>
        <v>304</v>
      </c>
      <c r="E114" s="6">
        <f>ROUND('Scales Input Table'!$X114*100,2)</f>
        <v>49.67</v>
      </c>
      <c r="F114" s="4">
        <f>'Scales Input Table'!$Y114</f>
        <v>305</v>
      </c>
      <c r="G114">
        <f>'Scales Input Table'!$I114</f>
        <v>461</v>
      </c>
      <c r="H114">
        <f>'Scales Input Table'!$G114</f>
        <v>614</v>
      </c>
      <c r="I114" t="str">
        <f>'Scales Input Table'!$J114</f>
        <v>EMPTY</v>
      </c>
    </row>
    <row r="115" spans="1:9" x14ac:dyDescent="0.25">
      <c r="A115">
        <f>'Scales Input Table'!$A115</f>
        <v>0</v>
      </c>
      <c r="B115">
        <f>'Scales Input Table'!$B115</f>
        <v>0</v>
      </c>
      <c r="C115" s="6" t="e">
        <f>ROUND('Scales Input Table'!$V115*100,2)</f>
        <v>#VALUE!</v>
      </c>
      <c r="D115" s="4">
        <f>'Scales Input Table'!$W115</f>
        <v>0</v>
      </c>
      <c r="E115" s="6" t="e">
        <f>ROUND('Scales Input Table'!$X115*100,2)</f>
        <v>#VALUE!</v>
      </c>
      <c r="F115" s="4">
        <f>'Scales Input Table'!$Y115</f>
        <v>0</v>
      </c>
      <c r="G115">
        <f>'Scales Input Table'!$I115</f>
        <v>0</v>
      </c>
      <c r="H115">
        <f>'Scales Input Table'!$G115</f>
        <v>0</v>
      </c>
      <c r="I115">
        <f>'Scales Input Table'!$J115</f>
        <v>0</v>
      </c>
    </row>
    <row r="116" spans="1:9" x14ac:dyDescent="0.25">
      <c r="A116">
        <f>'Scales Input Table'!$A116</f>
        <v>0</v>
      </c>
      <c r="B116">
        <f>'Scales Input Table'!$B116</f>
        <v>0</v>
      </c>
      <c r="C116" s="6" t="e">
        <f>ROUND('Scales Input Table'!$V116*100,2)</f>
        <v>#VALUE!</v>
      </c>
      <c r="D116" s="4">
        <f>'Scales Input Table'!$W116</f>
        <v>0</v>
      </c>
      <c r="E116" s="6" t="e">
        <f>ROUND('Scales Input Table'!$X116*100,2)</f>
        <v>#VALUE!</v>
      </c>
      <c r="F116" s="4">
        <f>'Scales Input Table'!$Y116</f>
        <v>0</v>
      </c>
      <c r="G116">
        <f>'Scales Input Table'!$I116</f>
        <v>0</v>
      </c>
      <c r="H116">
        <f>'Scales Input Table'!$G116</f>
        <v>0</v>
      </c>
      <c r="I116">
        <f>'Scales Input Table'!$J116</f>
        <v>0</v>
      </c>
    </row>
    <row r="117" spans="1:9" x14ac:dyDescent="0.25">
      <c r="A117">
        <f>'Scales Input Table'!$A117</f>
        <v>0</v>
      </c>
      <c r="B117">
        <f>'Scales Input Table'!$B117</f>
        <v>0</v>
      </c>
      <c r="C117" s="6" t="e">
        <f>ROUND('Scales Input Table'!$V117*100,2)</f>
        <v>#VALUE!</v>
      </c>
      <c r="D117" s="4">
        <f>'Scales Input Table'!$W117</f>
        <v>0</v>
      </c>
      <c r="E117" s="6" t="e">
        <f>ROUND('Scales Input Table'!$X117*100,2)</f>
        <v>#VALUE!</v>
      </c>
      <c r="F117" s="4">
        <f>'Scales Input Table'!$Y117</f>
        <v>0</v>
      </c>
      <c r="G117">
        <f>'Scales Input Table'!$I117</f>
        <v>0</v>
      </c>
      <c r="H117">
        <f>'Scales Input Table'!$G117</f>
        <v>0</v>
      </c>
      <c r="I117">
        <f>'Scales Input Table'!$J117</f>
        <v>0</v>
      </c>
    </row>
    <row r="118" spans="1:9" x14ac:dyDescent="0.25">
      <c r="A118">
        <f>'Scales Input Table'!$A118</f>
        <v>0</v>
      </c>
      <c r="B118">
        <f>'Scales Input Table'!$B118</f>
        <v>0</v>
      </c>
      <c r="C118" s="6" t="e">
        <f>ROUND('Scales Input Table'!$V118*100,2)</f>
        <v>#VALUE!</v>
      </c>
      <c r="D118" s="4">
        <f>'Scales Input Table'!$W118</f>
        <v>0</v>
      </c>
      <c r="E118" s="6" t="e">
        <f>ROUND('Scales Input Table'!$X118*100,2)</f>
        <v>#VALUE!</v>
      </c>
      <c r="F118" s="4">
        <f>'Scales Input Table'!$Y118</f>
        <v>0</v>
      </c>
      <c r="G118">
        <f>'Scales Input Table'!$I118</f>
        <v>0</v>
      </c>
      <c r="H118">
        <f>'Scales Input Table'!$G118</f>
        <v>0</v>
      </c>
      <c r="I118">
        <f>'Scales Input Table'!$J118</f>
        <v>0</v>
      </c>
    </row>
    <row r="119" spans="1:9" x14ac:dyDescent="0.25">
      <c r="A119">
        <f>'Scales Input Table'!$A119</f>
        <v>0</v>
      </c>
      <c r="B119">
        <f>'Scales Input Table'!$B119</f>
        <v>0</v>
      </c>
      <c r="C119" s="6" t="e">
        <f>ROUND('Scales Input Table'!$V119*100,2)</f>
        <v>#VALUE!</v>
      </c>
      <c r="D119" s="4">
        <f>'Scales Input Table'!$W119</f>
        <v>0</v>
      </c>
      <c r="E119" s="6" t="e">
        <f>ROUND('Scales Input Table'!$X119*100,2)</f>
        <v>#VALUE!</v>
      </c>
      <c r="F119" s="4">
        <f>'Scales Input Table'!$Y119</f>
        <v>0</v>
      </c>
      <c r="G119">
        <f>'Scales Input Table'!$I119</f>
        <v>0</v>
      </c>
      <c r="H119">
        <f>'Scales Input Table'!$G119</f>
        <v>0</v>
      </c>
      <c r="I119">
        <f>'Scales Input Table'!$J119</f>
        <v>0</v>
      </c>
    </row>
    <row r="120" spans="1:9" x14ac:dyDescent="0.25">
      <c r="A120">
        <f>'Scales Input Table'!$A120</f>
        <v>0</v>
      </c>
      <c r="B120">
        <f>'Scales Input Table'!$B120</f>
        <v>0</v>
      </c>
      <c r="C120" s="6" t="e">
        <f>ROUND('Scales Input Table'!$V120*100,2)</f>
        <v>#VALUE!</v>
      </c>
      <c r="D120" s="4">
        <f>'Scales Input Table'!$W120</f>
        <v>0</v>
      </c>
      <c r="E120" s="6" t="e">
        <f>ROUND('Scales Input Table'!$X120*100,2)</f>
        <v>#VALUE!</v>
      </c>
      <c r="F120" s="4">
        <f>'Scales Input Table'!$Y120</f>
        <v>0</v>
      </c>
      <c r="G120">
        <f>'Scales Input Table'!$I120</f>
        <v>0</v>
      </c>
      <c r="H120">
        <f>'Scales Input Table'!$G120</f>
        <v>0</v>
      </c>
      <c r="I120">
        <f>'Scales Input Table'!$J120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workbookViewId="0">
      <selection activeCell="G28" sqref="G28"/>
    </sheetView>
  </sheetViews>
  <sheetFormatPr defaultRowHeight="15" x14ac:dyDescent="0.25"/>
  <sheetData>
    <row r="1" spans="1:6" x14ac:dyDescent="0.25">
      <c r="A1" s="8" t="s">
        <v>140</v>
      </c>
      <c r="C1" t="s">
        <v>7</v>
      </c>
      <c r="E1" t="s">
        <v>8</v>
      </c>
      <c r="F1" t="s">
        <v>9</v>
      </c>
    </row>
    <row r="2" spans="1:6" x14ac:dyDescent="0.25">
      <c r="A2" s="8" t="s">
        <v>141</v>
      </c>
      <c r="C2">
        <f>'Scales Input Table'!I124</f>
        <v>456.47169811320754</v>
      </c>
      <c r="E2" s="7">
        <f>'Scales Input Table'!V124</f>
        <v>0.49213795962011236</v>
      </c>
      <c r="F2" s="7">
        <f>'Scales Input Table'!X124</f>
        <v>0.4998777062206321</v>
      </c>
    </row>
    <row r="3" spans="1:6" x14ac:dyDescent="0.25">
      <c r="A3" s="8" t="s">
        <v>142</v>
      </c>
      <c r="C3">
        <f>'Scales Input Table'!I125</f>
        <v>65.733836694755212</v>
      </c>
      <c r="E3" s="7">
        <f>'Scales Input Table'!V125</f>
        <v>2.4713997330950501E-2</v>
      </c>
      <c r="F3" s="7">
        <f>'Scales Input Table'!X125</f>
        <v>5.2255247210475147E-3</v>
      </c>
    </row>
    <row r="4" spans="1:6" x14ac:dyDescent="0.25">
      <c r="A4" s="8" t="s">
        <v>143</v>
      </c>
      <c r="C4">
        <f>'Scales Input Table'!I126</f>
        <v>712</v>
      </c>
      <c r="E4" s="7">
        <f>'Scales Input Table'!V126</f>
        <v>0.55000000000000004</v>
      </c>
      <c r="F4" s="7">
        <f>'Scales Input Table'!X126</f>
        <v>0.51342812006319116</v>
      </c>
    </row>
    <row r="5" spans="1:6" x14ac:dyDescent="0.25">
      <c r="A5" s="8" t="s">
        <v>144</v>
      </c>
      <c r="C5">
        <f>'Scales Input Table'!I127</f>
        <v>323</v>
      </c>
      <c r="E5" s="7">
        <f>'Scales Input Table'!V127</f>
        <v>0.42857142857142855</v>
      </c>
      <c r="F5" s="7">
        <f>'Scales Input Table'!X127</f>
        <v>0.48403361344537815</v>
      </c>
    </row>
    <row r="6" spans="1:6" x14ac:dyDescent="0.25">
      <c r="A6" s="9">
        <v>0.95</v>
      </c>
      <c r="C6">
        <f>'Scales Input Table'!I128</f>
        <v>564.29999999999995</v>
      </c>
      <c r="E6" s="7">
        <f>'Scales Input Table'!V128</f>
        <v>0.53963919139515637</v>
      </c>
      <c r="F6" s="7">
        <f>'Scales Input Table'!X128</f>
        <v>0.50862812260083856</v>
      </c>
    </row>
    <row r="7" spans="1:6" x14ac:dyDescent="0.25">
      <c r="A7" s="9">
        <v>0.05</v>
      </c>
      <c r="C7">
        <f>'Scales Input Table'!I129</f>
        <v>343.7</v>
      </c>
      <c r="E7" s="7">
        <f>'Scales Input Table'!V129</f>
        <v>0.44395145999241559</v>
      </c>
      <c r="F7" s="7">
        <f>'Scales Input Table'!X129</f>
        <v>0.49224502893442978</v>
      </c>
    </row>
    <row r="9" spans="1:6" x14ac:dyDescent="0.25">
      <c r="A9" t="s">
        <v>146</v>
      </c>
      <c r="C9">
        <f>COUNTIF('Scales Input Table'!$M$2:$M$120,1)</f>
        <v>23</v>
      </c>
    </row>
    <row r="10" spans="1:6" x14ac:dyDescent="0.25">
      <c r="A10" t="s">
        <v>148</v>
      </c>
      <c r="C10">
        <f>COUNTIF('Scales Input Table'!$M$2:$M$120,2)</f>
        <v>8</v>
      </c>
    </row>
    <row r="11" spans="1:6" x14ac:dyDescent="0.25">
      <c r="A11" t="s">
        <v>149</v>
      </c>
      <c r="C11">
        <f>COUNTIF('Scales Input Table'!$M$2:$M$120,3)</f>
        <v>2</v>
      </c>
    </row>
    <row r="12" spans="1:6" x14ac:dyDescent="0.25">
      <c r="A12" t="s">
        <v>147</v>
      </c>
      <c r="C12">
        <f>COUNTIF('Scales Input Table'!$M$2:$M$120,4)</f>
        <v>73</v>
      </c>
    </row>
    <row r="14" spans="1:6" x14ac:dyDescent="0.25">
      <c r="A14" t="s">
        <v>150</v>
      </c>
      <c r="C14">
        <f>COUNTIF('Scales Input Table'!$N$2:$N$120,"&lt;451")</f>
        <v>20</v>
      </c>
    </row>
    <row r="15" spans="1:6" x14ac:dyDescent="0.25">
      <c r="A15" t="s">
        <v>151</v>
      </c>
      <c r="C15">
        <f>COUNTIFS('Scales Input Table'!$N$2:$N$120,"&gt;450",'Scales Input Table'!$N$2:$N$120,"&lt;611")</f>
        <v>78</v>
      </c>
    </row>
    <row r="16" spans="1:6" x14ac:dyDescent="0.25">
      <c r="A16" t="s">
        <v>152</v>
      </c>
      <c r="C16">
        <f>COUNTIF('Scales Input Table'!$N$2:$N$120,"&gt;610")</f>
        <v>8</v>
      </c>
    </row>
    <row r="18" spans="1:11" x14ac:dyDescent="0.25">
      <c r="A18" t="s">
        <v>153</v>
      </c>
      <c r="E18" t="s">
        <v>157</v>
      </c>
      <c r="I18" t="s">
        <v>121</v>
      </c>
    </row>
    <row r="19" spans="1:11" x14ac:dyDescent="0.25">
      <c r="A19" s="8" t="s">
        <v>141</v>
      </c>
      <c r="C19">
        <f>AVERAGEIF('Scales Input Table'!$M$2:$M$120,"=1",'Scales Input Table'!$I$2:$I$120)</f>
        <v>389.39130434782606</v>
      </c>
      <c r="E19" s="8" t="s">
        <v>141</v>
      </c>
      <c r="G19">
        <f>AVERAGEIF('Scales Input Table'!$Q$2:$Q$120,"Full Package",'Scales Input Table'!$I$2:$I$120)</f>
        <v>447.07142857142856</v>
      </c>
      <c r="I19" s="8" t="s">
        <v>141</v>
      </c>
      <c r="K19">
        <f>AVERAGEIF('Scales Input Table'!$R$2:$R$120,"=10""",'Scales Input Table'!$I$2:$I$120)</f>
        <v>440.08749999999998</v>
      </c>
    </row>
    <row r="20" spans="1:11" x14ac:dyDescent="0.25">
      <c r="A20" s="8"/>
      <c r="E20" s="7"/>
      <c r="F20" s="7"/>
    </row>
    <row r="21" spans="1:11" x14ac:dyDescent="0.25">
      <c r="A21" s="8" t="s">
        <v>154</v>
      </c>
      <c r="E21" s="7" t="s">
        <v>117</v>
      </c>
      <c r="F21" s="7"/>
      <c r="I21" t="s">
        <v>122</v>
      </c>
    </row>
    <row r="22" spans="1:11" x14ac:dyDescent="0.25">
      <c r="A22" s="8" t="s">
        <v>141</v>
      </c>
      <c r="C22">
        <f>AVERAGEIF('Scales Input Table'!$M$2:$M$120,"=2",'Scales Input Table'!$I$2:$I$120)</f>
        <v>444.625</v>
      </c>
      <c r="E22" s="8" t="s">
        <v>141</v>
      </c>
      <c r="G22">
        <f>AVERAGEIF('Scales Input Table'!$Q$2:$Q$120,"Wings Only",'Scales Input Table'!$I$2:$I$120)</f>
        <v>443.48</v>
      </c>
      <c r="I22" s="8" t="s">
        <v>141</v>
      </c>
      <c r="K22">
        <f>AVERAGEIF('Scales Input Table'!$R$2:$R$120,"=13""",'Scales Input Table'!$I$2:$I$120)</f>
        <v>506.88461538461536</v>
      </c>
    </row>
    <row r="23" spans="1:11" x14ac:dyDescent="0.25">
      <c r="A23" s="9"/>
      <c r="E23" s="7"/>
      <c r="F23" s="7"/>
    </row>
    <row r="24" spans="1:11" x14ac:dyDescent="0.25">
      <c r="A24" s="9" t="s">
        <v>155</v>
      </c>
      <c r="E24" s="7" t="s">
        <v>126</v>
      </c>
      <c r="F24" s="7"/>
    </row>
    <row r="25" spans="1:11" x14ac:dyDescent="0.25">
      <c r="A25" s="8" t="s">
        <v>141</v>
      </c>
      <c r="C25">
        <f>AVERAGEIF('Scales Input Table'!$M$2:$M$120,"=3",'Scales Input Table'!$I$2:$I$120)</f>
        <v>492</v>
      </c>
      <c r="E25" s="8" t="s">
        <v>141</v>
      </c>
      <c r="G25">
        <f>AVERAGEIF('Scales Input Table'!$Q$2:$Q$120,"Tray Only",'Scales Input Table'!$I$2:$I$120)</f>
        <v>482.83333333333331</v>
      </c>
    </row>
    <row r="27" spans="1:11" x14ac:dyDescent="0.25">
      <c r="A27" t="s">
        <v>156</v>
      </c>
      <c r="E27" t="s">
        <v>158</v>
      </c>
    </row>
    <row r="28" spans="1:11" x14ac:dyDescent="0.25">
      <c r="A28" s="8" t="s">
        <v>141</v>
      </c>
      <c r="C28">
        <f>AVERAGEIF('Scales Input Table'!$M$2:$M$120,"=4",'Scales Input Table'!$I$2:$I$120)</f>
        <v>477.93150684931504</v>
      </c>
      <c r="E28" s="8" t="s">
        <v>141</v>
      </c>
      <c r="G28">
        <f>AVERAGEIF('Scales Input Table'!$Q$2:$Q$120,"None",'Scales Input Table'!$I$2:$I$120)</f>
        <v>473.4848484848485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9"/>
  <sheetViews>
    <sheetView workbookViewId="0">
      <selection activeCell="M2" sqref="M2"/>
    </sheetView>
  </sheetViews>
  <sheetFormatPr defaultRowHeight="15" zeroHeight="1" x14ac:dyDescent="0.25"/>
  <cols>
    <col min="1" max="1" width="13.7109375" customWidth="1"/>
    <col min="2" max="2" width="40" bestFit="1" customWidth="1"/>
    <col min="3" max="3" width="11.7109375" customWidth="1"/>
    <col min="4" max="4" width="12.85546875" customWidth="1"/>
    <col min="5" max="5" width="11" customWidth="1"/>
    <col min="6" max="6" width="12.140625" customWidth="1"/>
    <col min="7" max="7" width="14.28515625" customWidth="1"/>
    <col min="8" max="8" width="7.7109375" style="21" customWidth="1"/>
    <col min="9" max="9" width="10.5703125" customWidth="1"/>
    <col min="10" max="10" width="12.140625" customWidth="1"/>
    <col min="11" max="11" width="8.7109375" style="21" customWidth="1"/>
    <col min="12" max="12" width="15.5703125" customWidth="1"/>
    <col min="13" max="13" width="17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1" t="s">
        <v>214</v>
      </c>
      <c r="I1" t="s">
        <v>7</v>
      </c>
      <c r="J1" t="s">
        <v>10</v>
      </c>
      <c r="K1" s="21" t="s">
        <v>215</v>
      </c>
      <c r="L1" t="s">
        <v>12</v>
      </c>
      <c r="M1" t="s">
        <v>11</v>
      </c>
    </row>
    <row r="2" spans="1:13" hidden="1" x14ac:dyDescent="0.25">
      <c r="B2" t="s">
        <v>136</v>
      </c>
      <c r="G2" s="3" t="e">
        <f>STDEV(#REF!)</f>
        <v>#REF!</v>
      </c>
      <c r="I2" s="3" t="e">
        <f>STDEV(#REF!)</f>
        <v>#REF!</v>
      </c>
    </row>
    <row r="3" spans="1:13" hidden="1" x14ac:dyDescent="0.25">
      <c r="A3">
        <f>COUNT(A1:A1)</f>
        <v>0</v>
      </c>
      <c r="B3" s="5" t="s">
        <v>134</v>
      </c>
      <c r="G3">
        <f>COUNT(G1:G1)</f>
        <v>0</v>
      </c>
      <c r="I3">
        <f>COUNT(I1:I1)</f>
        <v>0</v>
      </c>
    </row>
    <row r="4" spans="1:13" hidden="1" x14ac:dyDescent="0.25">
      <c r="A4">
        <v>33</v>
      </c>
      <c r="B4" t="s">
        <v>23</v>
      </c>
      <c r="C4">
        <v>104</v>
      </c>
      <c r="D4">
        <v>147</v>
      </c>
      <c r="E4">
        <v>162</v>
      </c>
      <c r="F4">
        <v>122</v>
      </c>
      <c r="G4">
        <v>533</v>
      </c>
      <c r="I4">
        <v>323</v>
      </c>
      <c r="J4" t="s">
        <v>114</v>
      </c>
      <c r="L4">
        <f>IF($G4="","",$G4-$I4)</f>
        <v>210</v>
      </c>
      <c r="M4">
        <v>1</v>
      </c>
    </row>
    <row r="5" spans="1:13" hidden="1" x14ac:dyDescent="0.25">
      <c r="B5" t="s">
        <v>137</v>
      </c>
      <c r="G5" t="e">
        <f>MIN(#REF!)</f>
        <v>#REF!</v>
      </c>
      <c r="I5" t="e">
        <f>MIN(#REF!)</f>
        <v>#REF!</v>
      </c>
    </row>
    <row r="6" spans="1:13" hidden="1" x14ac:dyDescent="0.25">
      <c r="A6">
        <v>5</v>
      </c>
      <c r="B6" t="s">
        <v>33</v>
      </c>
      <c r="C6">
        <v>113</v>
      </c>
      <c r="D6">
        <v>107</v>
      </c>
      <c r="E6">
        <v>123</v>
      </c>
      <c r="F6">
        <v>130</v>
      </c>
      <c r="G6">
        <v>472</v>
      </c>
      <c r="I6">
        <v>325</v>
      </c>
      <c r="J6" t="s">
        <v>113</v>
      </c>
      <c r="L6">
        <f>IF($G6="","",$G6-$I6)</f>
        <v>147</v>
      </c>
      <c r="M6">
        <v>1</v>
      </c>
    </row>
    <row r="7" spans="1:13" hidden="1" x14ac:dyDescent="0.25">
      <c r="A7">
        <v>65</v>
      </c>
      <c r="B7" t="s">
        <v>38</v>
      </c>
      <c r="C7">
        <v>111</v>
      </c>
      <c r="D7">
        <v>133</v>
      </c>
      <c r="E7">
        <v>137</v>
      </c>
      <c r="F7">
        <v>119</v>
      </c>
      <c r="G7">
        <v>499</v>
      </c>
      <c r="I7">
        <v>333</v>
      </c>
      <c r="J7" t="s">
        <v>114</v>
      </c>
      <c r="L7">
        <f>IF($G7="","",$G7-$I7)</f>
        <v>166</v>
      </c>
      <c r="M7">
        <v>1</v>
      </c>
    </row>
    <row r="8" spans="1:13" hidden="1" x14ac:dyDescent="0.25">
      <c r="A8">
        <v>2</v>
      </c>
      <c r="B8" t="s">
        <v>24</v>
      </c>
      <c r="C8">
        <v>102</v>
      </c>
      <c r="D8">
        <v>130</v>
      </c>
      <c r="E8">
        <v>152</v>
      </c>
      <c r="F8">
        <v>128</v>
      </c>
      <c r="G8">
        <v>511</v>
      </c>
      <c r="I8">
        <v>342</v>
      </c>
      <c r="J8" t="s">
        <v>113</v>
      </c>
      <c r="L8">
        <f>IF($G8="","",$G8-$I8)</f>
        <v>169</v>
      </c>
      <c r="M8">
        <v>1</v>
      </c>
    </row>
    <row r="9" spans="1:13" hidden="1" x14ac:dyDescent="0.25">
      <c r="A9">
        <v>106</v>
      </c>
      <c r="B9" t="s">
        <v>34</v>
      </c>
      <c r="C9">
        <v>66</v>
      </c>
      <c r="D9">
        <v>152</v>
      </c>
      <c r="E9">
        <v>183</v>
      </c>
      <c r="F9">
        <v>102</v>
      </c>
      <c r="G9">
        <v>503</v>
      </c>
      <c r="I9">
        <v>343</v>
      </c>
      <c r="J9" t="s">
        <v>113</v>
      </c>
      <c r="L9">
        <f>IF($G9="","",$G9-$I9)</f>
        <v>160</v>
      </c>
      <c r="M9">
        <v>1</v>
      </c>
    </row>
    <row r="10" spans="1:13" hidden="1" x14ac:dyDescent="0.25">
      <c r="B10" t="s">
        <v>139</v>
      </c>
      <c r="G10" t="e">
        <f>_xlfn.PERCENTILE.EXC(G1:G1,0.05)</f>
        <v>#NUM!</v>
      </c>
      <c r="I10" t="e">
        <f>_xlfn.PERCENTILE.EXC(I1:I1,0.05)</f>
        <v>#NUM!</v>
      </c>
    </row>
    <row r="11" spans="1:13" hidden="1" x14ac:dyDescent="0.25">
      <c r="A11">
        <v>89</v>
      </c>
      <c r="B11" t="s">
        <v>37</v>
      </c>
      <c r="C11">
        <v>116</v>
      </c>
      <c r="D11">
        <v>141</v>
      </c>
      <c r="E11">
        <v>142</v>
      </c>
      <c r="F11">
        <v>115</v>
      </c>
      <c r="G11">
        <v>514</v>
      </c>
      <c r="I11">
        <v>345</v>
      </c>
      <c r="J11" t="s">
        <v>114</v>
      </c>
      <c r="L11">
        <f t="shared" ref="L11:L42" si="0">IF($G11="","",$G11-$I11)</f>
        <v>169</v>
      </c>
      <c r="M11">
        <v>2</v>
      </c>
    </row>
    <row r="12" spans="1:13" hidden="1" x14ac:dyDescent="0.25">
      <c r="A12">
        <v>7</v>
      </c>
      <c r="B12" t="s">
        <v>58</v>
      </c>
      <c r="C12">
        <v>119</v>
      </c>
      <c r="D12">
        <v>135</v>
      </c>
      <c r="E12">
        <v>137</v>
      </c>
      <c r="F12">
        <v>125</v>
      </c>
      <c r="G12">
        <v>518</v>
      </c>
      <c r="I12">
        <v>358</v>
      </c>
      <c r="J12" t="s">
        <v>114</v>
      </c>
      <c r="L12">
        <f t="shared" si="0"/>
        <v>160</v>
      </c>
      <c r="M12">
        <v>1</v>
      </c>
    </row>
    <row r="13" spans="1:13" hidden="1" x14ac:dyDescent="0.25">
      <c r="A13">
        <v>8</v>
      </c>
      <c r="B13" t="s">
        <v>29</v>
      </c>
      <c r="C13">
        <v>127</v>
      </c>
      <c r="D13">
        <v>126</v>
      </c>
      <c r="E13">
        <v>148</v>
      </c>
      <c r="F13">
        <v>144</v>
      </c>
      <c r="G13">
        <v>545</v>
      </c>
      <c r="I13">
        <v>363</v>
      </c>
      <c r="J13" t="s">
        <v>114</v>
      </c>
      <c r="L13">
        <f t="shared" si="0"/>
        <v>182</v>
      </c>
      <c r="M13">
        <v>1</v>
      </c>
    </row>
    <row r="14" spans="1:13" hidden="1" x14ac:dyDescent="0.25">
      <c r="A14">
        <v>84</v>
      </c>
      <c r="B14" t="s">
        <v>39</v>
      </c>
      <c r="C14">
        <v>127</v>
      </c>
      <c r="D14">
        <v>140</v>
      </c>
      <c r="E14">
        <v>133</v>
      </c>
      <c r="F14">
        <v>123</v>
      </c>
      <c r="G14">
        <v>524</v>
      </c>
      <c r="I14">
        <v>364</v>
      </c>
      <c r="J14" t="s">
        <v>114</v>
      </c>
      <c r="L14">
        <f t="shared" si="0"/>
        <v>160</v>
      </c>
      <c r="M14">
        <v>1</v>
      </c>
    </row>
    <row r="15" spans="1:13" hidden="1" x14ac:dyDescent="0.25">
      <c r="A15">
        <v>55</v>
      </c>
      <c r="B15" t="s">
        <v>94</v>
      </c>
      <c r="C15">
        <v>107</v>
      </c>
      <c r="D15">
        <v>140</v>
      </c>
      <c r="E15">
        <v>144</v>
      </c>
      <c r="F15">
        <v>107</v>
      </c>
      <c r="G15">
        <v>498</v>
      </c>
      <c r="I15">
        <v>368</v>
      </c>
      <c r="J15" t="s">
        <v>113</v>
      </c>
      <c r="L15">
        <f t="shared" si="0"/>
        <v>130</v>
      </c>
      <c r="M15">
        <v>1</v>
      </c>
    </row>
    <row r="16" spans="1:13" hidden="1" x14ac:dyDescent="0.25">
      <c r="A16">
        <v>113</v>
      </c>
      <c r="B16" t="s">
        <v>88</v>
      </c>
      <c r="C16">
        <v>125</v>
      </c>
      <c r="D16">
        <v>134</v>
      </c>
      <c r="E16">
        <v>141</v>
      </c>
      <c r="F16">
        <v>134</v>
      </c>
      <c r="G16">
        <v>534</v>
      </c>
      <c r="I16">
        <v>370</v>
      </c>
      <c r="J16" t="s">
        <v>114</v>
      </c>
      <c r="L16">
        <f t="shared" si="0"/>
        <v>164</v>
      </c>
      <c r="M16">
        <v>1</v>
      </c>
    </row>
    <row r="17" spans="1:13" hidden="1" x14ac:dyDescent="0.25">
      <c r="A17">
        <v>6</v>
      </c>
      <c r="B17" t="s">
        <v>73</v>
      </c>
      <c r="C17">
        <v>142</v>
      </c>
      <c r="D17">
        <v>152</v>
      </c>
      <c r="E17">
        <v>132</v>
      </c>
      <c r="F17">
        <v>129</v>
      </c>
      <c r="G17">
        <v>555</v>
      </c>
      <c r="I17">
        <v>373</v>
      </c>
      <c r="J17" t="s">
        <v>113</v>
      </c>
      <c r="L17">
        <f t="shared" si="0"/>
        <v>182</v>
      </c>
      <c r="M17">
        <v>1</v>
      </c>
    </row>
    <row r="18" spans="1:13" hidden="1" x14ac:dyDescent="0.25">
      <c r="A18">
        <v>43</v>
      </c>
      <c r="B18" t="s">
        <v>78</v>
      </c>
      <c r="C18">
        <v>128</v>
      </c>
      <c r="D18">
        <v>136</v>
      </c>
      <c r="E18">
        <v>137</v>
      </c>
      <c r="F18">
        <v>137</v>
      </c>
      <c r="G18">
        <v>538</v>
      </c>
      <c r="I18">
        <v>375</v>
      </c>
      <c r="J18" t="s">
        <v>114</v>
      </c>
      <c r="L18">
        <f t="shared" si="0"/>
        <v>163</v>
      </c>
      <c r="M18">
        <v>1</v>
      </c>
    </row>
    <row r="19" spans="1:13" hidden="1" x14ac:dyDescent="0.25">
      <c r="A19">
        <v>80</v>
      </c>
      <c r="B19" t="s">
        <v>60</v>
      </c>
      <c r="C19">
        <v>124</v>
      </c>
      <c r="D19">
        <v>156</v>
      </c>
      <c r="E19">
        <v>168</v>
      </c>
      <c r="F19">
        <v>136</v>
      </c>
      <c r="G19">
        <v>583</v>
      </c>
      <c r="I19">
        <v>377</v>
      </c>
      <c r="J19" t="s">
        <v>113</v>
      </c>
      <c r="L19">
        <f t="shared" si="0"/>
        <v>206</v>
      </c>
      <c r="M19">
        <v>1</v>
      </c>
    </row>
    <row r="20" spans="1:13" x14ac:dyDescent="0.25">
      <c r="A20">
        <v>1</v>
      </c>
      <c r="B20" t="s">
        <v>22</v>
      </c>
      <c r="C20">
        <v>120</v>
      </c>
      <c r="D20">
        <v>161</v>
      </c>
      <c r="E20">
        <v>158</v>
      </c>
      <c r="F20">
        <v>119</v>
      </c>
      <c r="G20">
        <v>558</v>
      </c>
      <c r="I20">
        <v>383</v>
      </c>
      <c r="J20" t="s">
        <v>113</v>
      </c>
      <c r="L20">
        <f t="shared" si="0"/>
        <v>175</v>
      </c>
      <c r="M20">
        <v>4</v>
      </c>
    </row>
    <row r="21" spans="1:13" hidden="1" x14ac:dyDescent="0.25">
      <c r="A21">
        <v>24</v>
      </c>
      <c r="B21" t="s">
        <v>49</v>
      </c>
      <c r="C21">
        <v>124</v>
      </c>
      <c r="D21">
        <v>144</v>
      </c>
      <c r="E21">
        <v>138</v>
      </c>
      <c r="F21">
        <v>132</v>
      </c>
      <c r="G21">
        <v>538</v>
      </c>
      <c r="I21">
        <v>386</v>
      </c>
      <c r="J21" t="s">
        <v>114</v>
      </c>
      <c r="L21">
        <f t="shared" si="0"/>
        <v>152</v>
      </c>
      <c r="M21">
        <v>1</v>
      </c>
    </row>
    <row r="22" spans="1:13" x14ac:dyDescent="0.25">
      <c r="A22">
        <v>58</v>
      </c>
      <c r="B22" t="s">
        <v>167</v>
      </c>
      <c r="C22">
        <v>141</v>
      </c>
      <c r="D22">
        <v>145</v>
      </c>
      <c r="E22">
        <v>122</v>
      </c>
      <c r="F22">
        <v>119</v>
      </c>
      <c r="G22">
        <v>527</v>
      </c>
      <c r="I22">
        <v>390</v>
      </c>
      <c r="J22" t="s">
        <v>113</v>
      </c>
      <c r="L22">
        <f t="shared" si="0"/>
        <v>137</v>
      </c>
      <c r="M22">
        <v>4</v>
      </c>
    </row>
    <row r="23" spans="1:13" x14ac:dyDescent="0.25">
      <c r="A23">
        <v>90</v>
      </c>
      <c r="B23" t="s">
        <v>174</v>
      </c>
      <c r="C23">
        <v>127</v>
      </c>
      <c r="D23">
        <v>162</v>
      </c>
      <c r="E23">
        <v>172</v>
      </c>
      <c r="F23">
        <v>141</v>
      </c>
      <c r="G23">
        <v>602</v>
      </c>
      <c r="I23">
        <v>401</v>
      </c>
      <c r="J23" t="s">
        <v>113</v>
      </c>
      <c r="L23">
        <f t="shared" si="0"/>
        <v>201</v>
      </c>
      <c r="M23">
        <v>4</v>
      </c>
    </row>
    <row r="24" spans="1:13" hidden="1" x14ac:dyDescent="0.25">
      <c r="A24">
        <v>99</v>
      </c>
      <c r="B24" t="s">
        <v>41</v>
      </c>
      <c r="C24">
        <v>159</v>
      </c>
      <c r="D24">
        <v>172</v>
      </c>
      <c r="E24">
        <v>140</v>
      </c>
      <c r="F24">
        <v>132</v>
      </c>
      <c r="G24">
        <v>603</v>
      </c>
      <c r="I24">
        <v>403</v>
      </c>
      <c r="J24" t="s">
        <v>114</v>
      </c>
      <c r="L24">
        <f t="shared" si="0"/>
        <v>200</v>
      </c>
      <c r="M24">
        <v>2</v>
      </c>
    </row>
    <row r="25" spans="1:13" hidden="1" x14ac:dyDescent="0.25">
      <c r="A25">
        <v>14</v>
      </c>
      <c r="B25" t="s">
        <v>159</v>
      </c>
      <c r="C25">
        <v>145</v>
      </c>
      <c r="D25">
        <v>165</v>
      </c>
      <c r="E25">
        <v>161</v>
      </c>
      <c r="F25">
        <v>141</v>
      </c>
      <c r="G25">
        <v>613</v>
      </c>
      <c r="I25">
        <v>410</v>
      </c>
      <c r="J25" t="s">
        <v>114</v>
      </c>
      <c r="L25">
        <f t="shared" si="0"/>
        <v>203</v>
      </c>
      <c r="M25">
        <v>1</v>
      </c>
    </row>
    <row r="26" spans="1:13" x14ac:dyDescent="0.25">
      <c r="A26">
        <v>68</v>
      </c>
      <c r="B26" t="s">
        <v>51</v>
      </c>
      <c r="C26">
        <v>150</v>
      </c>
      <c r="D26">
        <v>129</v>
      </c>
      <c r="E26">
        <v>136</v>
      </c>
      <c r="F26">
        <v>163</v>
      </c>
      <c r="G26">
        <v>578</v>
      </c>
      <c r="I26">
        <v>411</v>
      </c>
      <c r="J26" t="s">
        <v>113</v>
      </c>
      <c r="L26">
        <f t="shared" si="0"/>
        <v>167</v>
      </c>
      <c r="M26">
        <v>4</v>
      </c>
    </row>
    <row r="27" spans="1:13" x14ac:dyDescent="0.25">
      <c r="A27">
        <v>85</v>
      </c>
      <c r="B27" t="s">
        <v>173</v>
      </c>
      <c r="C27">
        <v>119</v>
      </c>
      <c r="D27">
        <v>128</v>
      </c>
      <c r="E27">
        <v>151</v>
      </c>
      <c r="F27">
        <v>135</v>
      </c>
      <c r="G27">
        <v>531</v>
      </c>
      <c r="I27">
        <v>415</v>
      </c>
      <c r="J27" t="s">
        <v>114</v>
      </c>
      <c r="L27">
        <f t="shared" si="0"/>
        <v>116</v>
      </c>
      <c r="M27">
        <v>4</v>
      </c>
    </row>
    <row r="28" spans="1:13" hidden="1" x14ac:dyDescent="0.25">
      <c r="A28">
        <v>105</v>
      </c>
      <c r="B28" t="s">
        <v>80</v>
      </c>
      <c r="C28">
        <v>135</v>
      </c>
      <c r="D28">
        <v>153</v>
      </c>
      <c r="E28">
        <v>148</v>
      </c>
      <c r="F28">
        <v>129</v>
      </c>
      <c r="G28">
        <v>565</v>
      </c>
      <c r="I28">
        <v>416</v>
      </c>
      <c r="J28" t="s">
        <v>114</v>
      </c>
      <c r="L28">
        <f t="shared" si="0"/>
        <v>149</v>
      </c>
      <c r="M28">
        <v>1</v>
      </c>
    </row>
    <row r="29" spans="1:13" hidden="1" x14ac:dyDescent="0.25">
      <c r="A29">
        <v>29</v>
      </c>
      <c r="B29" t="s">
        <v>85</v>
      </c>
      <c r="C29">
        <v>140</v>
      </c>
      <c r="D29">
        <v>136</v>
      </c>
      <c r="E29">
        <v>143</v>
      </c>
      <c r="F29">
        <v>145</v>
      </c>
      <c r="G29">
        <v>564</v>
      </c>
      <c r="I29">
        <v>421</v>
      </c>
      <c r="J29" t="s">
        <v>113</v>
      </c>
      <c r="L29">
        <f t="shared" si="0"/>
        <v>143</v>
      </c>
      <c r="M29">
        <v>1</v>
      </c>
    </row>
    <row r="30" spans="1:13" hidden="1" x14ac:dyDescent="0.25">
      <c r="A30">
        <v>119</v>
      </c>
      <c r="B30" t="s">
        <v>98</v>
      </c>
      <c r="C30">
        <v>125</v>
      </c>
      <c r="D30">
        <v>146</v>
      </c>
      <c r="E30">
        <v>163</v>
      </c>
      <c r="F30">
        <v>140</v>
      </c>
      <c r="G30">
        <v>574</v>
      </c>
      <c r="I30">
        <v>422</v>
      </c>
      <c r="J30" t="s">
        <v>112</v>
      </c>
      <c r="L30">
        <f t="shared" si="0"/>
        <v>152</v>
      </c>
      <c r="M30">
        <v>2</v>
      </c>
    </row>
    <row r="31" spans="1:13" x14ac:dyDescent="0.25">
      <c r="A31">
        <v>123</v>
      </c>
      <c r="B31" t="s">
        <v>90</v>
      </c>
      <c r="C31">
        <v>125</v>
      </c>
      <c r="D31">
        <v>153</v>
      </c>
      <c r="E31">
        <v>160</v>
      </c>
      <c r="F31">
        <v>130</v>
      </c>
      <c r="G31">
        <v>571</v>
      </c>
      <c r="I31">
        <v>425</v>
      </c>
      <c r="J31" t="s">
        <v>114</v>
      </c>
      <c r="L31">
        <f t="shared" si="0"/>
        <v>146</v>
      </c>
      <c r="M31">
        <v>4</v>
      </c>
    </row>
    <row r="32" spans="1:13" x14ac:dyDescent="0.25">
      <c r="A32">
        <v>37</v>
      </c>
      <c r="B32" t="s">
        <v>47</v>
      </c>
      <c r="C32">
        <v>105</v>
      </c>
      <c r="D32">
        <v>141</v>
      </c>
      <c r="E32">
        <v>187</v>
      </c>
      <c r="F32">
        <v>144</v>
      </c>
      <c r="G32">
        <v>574</v>
      </c>
      <c r="I32">
        <v>426</v>
      </c>
      <c r="J32" t="s">
        <v>114</v>
      </c>
      <c r="L32">
        <f t="shared" si="0"/>
        <v>148</v>
      </c>
      <c r="M32">
        <v>4</v>
      </c>
    </row>
    <row r="33" spans="1:13" hidden="1" x14ac:dyDescent="0.25">
      <c r="A33">
        <v>74</v>
      </c>
      <c r="B33" t="s">
        <v>28</v>
      </c>
      <c r="C33">
        <v>150</v>
      </c>
      <c r="D33">
        <v>140</v>
      </c>
      <c r="E33">
        <v>155</v>
      </c>
      <c r="F33">
        <v>170</v>
      </c>
      <c r="G33">
        <v>614</v>
      </c>
      <c r="I33">
        <v>426</v>
      </c>
      <c r="J33" t="s">
        <v>114</v>
      </c>
      <c r="L33">
        <f t="shared" si="0"/>
        <v>188</v>
      </c>
      <c r="M33">
        <v>1</v>
      </c>
    </row>
    <row r="34" spans="1:13" x14ac:dyDescent="0.25">
      <c r="A34">
        <v>10</v>
      </c>
      <c r="B34" t="s">
        <v>96</v>
      </c>
      <c r="C34">
        <v>121</v>
      </c>
      <c r="D34">
        <v>139</v>
      </c>
      <c r="E34">
        <v>172</v>
      </c>
      <c r="F34">
        <v>154</v>
      </c>
      <c r="G34">
        <v>586</v>
      </c>
      <c r="I34">
        <v>427</v>
      </c>
      <c r="J34" t="s">
        <v>112</v>
      </c>
      <c r="L34">
        <f t="shared" si="0"/>
        <v>159</v>
      </c>
      <c r="M34">
        <v>4</v>
      </c>
    </row>
    <row r="35" spans="1:13" x14ac:dyDescent="0.25">
      <c r="A35">
        <v>11</v>
      </c>
      <c r="B35" t="s">
        <v>31</v>
      </c>
      <c r="C35">
        <v>139</v>
      </c>
      <c r="D35">
        <v>161</v>
      </c>
      <c r="E35">
        <v>162</v>
      </c>
      <c r="F35">
        <v>137</v>
      </c>
      <c r="G35">
        <v>599</v>
      </c>
      <c r="I35">
        <v>427</v>
      </c>
      <c r="J35" t="s">
        <v>113</v>
      </c>
      <c r="L35">
        <f t="shared" si="0"/>
        <v>172</v>
      </c>
      <c r="M35">
        <v>4</v>
      </c>
    </row>
    <row r="36" spans="1:13" x14ac:dyDescent="0.25">
      <c r="A36">
        <v>63</v>
      </c>
      <c r="B36" t="s">
        <v>50</v>
      </c>
      <c r="C36">
        <v>134</v>
      </c>
      <c r="D36">
        <v>174</v>
      </c>
      <c r="E36">
        <v>164</v>
      </c>
      <c r="F36">
        <v>119</v>
      </c>
      <c r="G36">
        <v>592</v>
      </c>
      <c r="I36">
        <v>430</v>
      </c>
      <c r="J36" t="s">
        <v>114</v>
      </c>
      <c r="L36">
        <f t="shared" si="0"/>
        <v>162</v>
      </c>
      <c r="M36">
        <v>4</v>
      </c>
    </row>
    <row r="37" spans="1:13" x14ac:dyDescent="0.25">
      <c r="A37">
        <v>73</v>
      </c>
      <c r="B37" t="s">
        <v>46</v>
      </c>
      <c r="C37">
        <v>143</v>
      </c>
      <c r="D37">
        <v>135</v>
      </c>
      <c r="E37">
        <v>145</v>
      </c>
      <c r="F37">
        <v>165</v>
      </c>
      <c r="G37">
        <v>588</v>
      </c>
      <c r="I37">
        <v>430</v>
      </c>
      <c r="J37" t="s">
        <v>112</v>
      </c>
      <c r="L37">
        <f t="shared" si="0"/>
        <v>158</v>
      </c>
      <c r="M37">
        <v>4</v>
      </c>
    </row>
    <row r="38" spans="1:13" hidden="1" x14ac:dyDescent="0.25">
      <c r="A38">
        <v>103</v>
      </c>
      <c r="B38" t="s">
        <v>81</v>
      </c>
      <c r="C38">
        <v>138</v>
      </c>
      <c r="D38">
        <v>162</v>
      </c>
      <c r="E38">
        <v>166</v>
      </c>
      <c r="F38">
        <v>142</v>
      </c>
      <c r="G38">
        <v>608</v>
      </c>
      <c r="I38">
        <v>431</v>
      </c>
      <c r="J38" t="s">
        <v>113</v>
      </c>
      <c r="L38">
        <f t="shared" si="0"/>
        <v>177</v>
      </c>
      <c r="M38">
        <v>1</v>
      </c>
    </row>
    <row r="39" spans="1:13" x14ac:dyDescent="0.25">
      <c r="A39">
        <v>9</v>
      </c>
      <c r="B39" t="s">
        <v>25</v>
      </c>
      <c r="C39">
        <v>134</v>
      </c>
      <c r="D39">
        <v>154</v>
      </c>
      <c r="E39">
        <v>171</v>
      </c>
      <c r="F39">
        <v>157</v>
      </c>
      <c r="G39">
        <v>616</v>
      </c>
      <c r="I39">
        <v>433</v>
      </c>
      <c r="J39" t="s">
        <v>114</v>
      </c>
      <c r="L39">
        <f t="shared" si="0"/>
        <v>183</v>
      </c>
      <c r="M39">
        <v>4</v>
      </c>
    </row>
    <row r="40" spans="1:13" x14ac:dyDescent="0.25">
      <c r="A40">
        <v>23</v>
      </c>
      <c r="B40" t="s">
        <v>36</v>
      </c>
      <c r="C40">
        <v>123</v>
      </c>
      <c r="D40">
        <v>151</v>
      </c>
      <c r="E40">
        <v>159</v>
      </c>
      <c r="F40">
        <v>138</v>
      </c>
      <c r="G40">
        <v>571</v>
      </c>
      <c r="I40">
        <v>433</v>
      </c>
      <c r="J40" t="s">
        <v>113</v>
      </c>
      <c r="L40">
        <f t="shared" si="0"/>
        <v>138</v>
      </c>
      <c r="M40">
        <v>4</v>
      </c>
    </row>
    <row r="41" spans="1:13" hidden="1" x14ac:dyDescent="0.25">
      <c r="A41">
        <v>46</v>
      </c>
      <c r="B41" t="s">
        <v>26</v>
      </c>
      <c r="C41">
        <v>130</v>
      </c>
      <c r="D41">
        <v>148</v>
      </c>
      <c r="E41">
        <v>156</v>
      </c>
      <c r="F41">
        <v>140</v>
      </c>
      <c r="G41">
        <v>575</v>
      </c>
      <c r="I41">
        <v>435</v>
      </c>
      <c r="J41" t="s">
        <v>113</v>
      </c>
      <c r="L41">
        <f t="shared" si="0"/>
        <v>140</v>
      </c>
      <c r="M41">
        <v>3</v>
      </c>
    </row>
    <row r="42" spans="1:13" x14ac:dyDescent="0.25">
      <c r="A42">
        <v>86</v>
      </c>
      <c r="B42" t="s">
        <v>72</v>
      </c>
      <c r="C42">
        <v>125</v>
      </c>
      <c r="D42">
        <v>153</v>
      </c>
      <c r="E42">
        <v>168</v>
      </c>
      <c r="F42">
        <v>142</v>
      </c>
      <c r="G42">
        <v>587</v>
      </c>
      <c r="I42">
        <v>435</v>
      </c>
      <c r="J42" t="s">
        <v>112</v>
      </c>
      <c r="L42">
        <f t="shared" si="0"/>
        <v>152</v>
      </c>
      <c r="M42">
        <v>4</v>
      </c>
    </row>
    <row r="43" spans="1:13" x14ac:dyDescent="0.25">
      <c r="A43">
        <v>79</v>
      </c>
      <c r="B43" t="s">
        <v>61</v>
      </c>
      <c r="C43">
        <v>165</v>
      </c>
      <c r="D43">
        <v>151</v>
      </c>
      <c r="E43">
        <v>153</v>
      </c>
      <c r="F43">
        <v>171</v>
      </c>
      <c r="G43">
        <v>640</v>
      </c>
      <c r="I43">
        <v>437</v>
      </c>
      <c r="J43" t="s">
        <v>112</v>
      </c>
      <c r="L43">
        <f t="shared" ref="L43:L59" si="1">IF($G43="","",$G43-$I43)</f>
        <v>203</v>
      </c>
      <c r="M43">
        <v>4</v>
      </c>
    </row>
    <row r="44" spans="1:13" x14ac:dyDescent="0.25">
      <c r="A44">
        <v>107</v>
      </c>
      <c r="B44" t="s">
        <v>110</v>
      </c>
      <c r="C44">
        <v>107</v>
      </c>
      <c r="D44">
        <v>137</v>
      </c>
      <c r="E44">
        <v>176</v>
      </c>
      <c r="F44">
        <v>141</v>
      </c>
      <c r="G44">
        <v>561</v>
      </c>
      <c r="I44">
        <v>437</v>
      </c>
      <c r="J44" t="s">
        <v>113</v>
      </c>
      <c r="L44">
        <f t="shared" si="1"/>
        <v>124</v>
      </c>
      <c r="M44">
        <v>4</v>
      </c>
    </row>
    <row r="45" spans="1:13" x14ac:dyDescent="0.25">
      <c r="A45">
        <v>38</v>
      </c>
      <c r="B45" t="s">
        <v>52</v>
      </c>
      <c r="C45">
        <v>147</v>
      </c>
      <c r="D45">
        <v>156</v>
      </c>
      <c r="E45">
        <v>156</v>
      </c>
      <c r="F45">
        <v>144</v>
      </c>
      <c r="G45">
        <v>602</v>
      </c>
      <c r="I45">
        <v>438</v>
      </c>
      <c r="J45" t="s">
        <v>114</v>
      </c>
      <c r="L45">
        <f t="shared" si="1"/>
        <v>164</v>
      </c>
      <c r="M45">
        <v>4</v>
      </c>
    </row>
    <row r="46" spans="1:13" x14ac:dyDescent="0.25">
      <c r="A46">
        <v>88</v>
      </c>
      <c r="B46" t="s">
        <v>103</v>
      </c>
      <c r="C46">
        <v>125</v>
      </c>
      <c r="D46">
        <v>169</v>
      </c>
      <c r="E46">
        <v>184</v>
      </c>
      <c r="F46">
        <v>140</v>
      </c>
      <c r="G46">
        <v>618</v>
      </c>
      <c r="I46">
        <v>441</v>
      </c>
      <c r="J46" t="s">
        <v>112</v>
      </c>
      <c r="L46">
        <f t="shared" si="1"/>
        <v>177</v>
      </c>
      <c r="M46">
        <v>4</v>
      </c>
    </row>
    <row r="47" spans="1:13" hidden="1" x14ac:dyDescent="0.25">
      <c r="A47">
        <v>30</v>
      </c>
      <c r="B47" t="s">
        <v>79</v>
      </c>
      <c r="C47">
        <v>193</v>
      </c>
      <c r="D47">
        <v>114</v>
      </c>
      <c r="E47">
        <v>111</v>
      </c>
      <c r="F47">
        <v>193</v>
      </c>
      <c r="G47">
        <v>611</v>
      </c>
      <c r="I47">
        <v>444</v>
      </c>
      <c r="J47" t="s">
        <v>114</v>
      </c>
      <c r="L47">
        <f t="shared" si="1"/>
        <v>167</v>
      </c>
      <c r="M47">
        <v>1</v>
      </c>
    </row>
    <row r="48" spans="1:13" x14ac:dyDescent="0.25">
      <c r="A48">
        <v>18</v>
      </c>
      <c r="B48" t="s">
        <v>71</v>
      </c>
      <c r="C48">
        <v>129</v>
      </c>
      <c r="D48">
        <v>168</v>
      </c>
      <c r="E48">
        <v>177</v>
      </c>
      <c r="F48">
        <v>139</v>
      </c>
      <c r="G48">
        <v>614</v>
      </c>
      <c r="I48">
        <v>445</v>
      </c>
      <c r="J48" t="s">
        <v>112</v>
      </c>
      <c r="L48">
        <f t="shared" si="1"/>
        <v>169</v>
      </c>
      <c r="M48">
        <v>4</v>
      </c>
    </row>
    <row r="49" spans="1:13" hidden="1" x14ac:dyDescent="0.25">
      <c r="A49">
        <v>50</v>
      </c>
      <c r="B49" t="s">
        <v>75</v>
      </c>
      <c r="C49">
        <v>145</v>
      </c>
      <c r="D49">
        <v>140</v>
      </c>
      <c r="E49">
        <v>143</v>
      </c>
      <c r="F49">
        <v>167</v>
      </c>
      <c r="G49">
        <v>595</v>
      </c>
      <c r="I49">
        <v>445</v>
      </c>
      <c r="J49" t="s">
        <v>113</v>
      </c>
      <c r="L49">
        <f t="shared" si="1"/>
        <v>150</v>
      </c>
      <c r="M49">
        <v>2</v>
      </c>
    </row>
    <row r="50" spans="1:13" x14ac:dyDescent="0.25">
      <c r="A50">
        <v>62</v>
      </c>
      <c r="B50" t="s">
        <v>27</v>
      </c>
      <c r="C50">
        <v>136</v>
      </c>
      <c r="D50">
        <v>149</v>
      </c>
      <c r="E50">
        <v>166</v>
      </c>
      <c r="F50">
        <v>147</v>
      </c>
      <c r="G50">
        <v>598</v>
      </c>
      <c r="I50">
        <v>448</v>
      </c>
      <c r="J50" t="s">
        <v>113</v>
      </c>
      <c r="L50">
        <f t="shared" si="1"/>
        <v>150</v>
      </c>
      <c r="M50">
        <v>4</v>
      </c>
    </row>
    <row r="51" spans="1:13" x14ac:dyDescent="0.25">
      <c r="A51">
        <v>67</v>
      </c>
      <c r="B51" t="s">
        <v>62</v>
      </c>
      <c r="C51">
        <v>145</v>
      </c>
      <c r="D51">
        <v>188</v>
      </c>
      <c r="E51">
        <v>189</v>
      </c>
      <c r="F51">
        <v>138</v>
      </c>
      <c r="G51">
        <v>660</v>
      </c>
      <c r="I51">
        <v>449</v>
      </c>
      <c r="J51" t="s">
        <v>112</v>
      </c>
      <c r="L51">
        <f t="shared" si="1"/>
        <v>211</v>
      </c>
      <c r="M51">
        <v>4</v>
      </c>
    </row>
    <row r="52" spans="1:13" x14ac:dyDescent="0.25">
      <c r="A52">
        <v>82</v>
      </c>
      <c r="B52" t="s">
        <v>84</v>
      </c>
      <c r="C52">
        <v>138</v>
      </c>
      <c r="D52">
        <v>148</v>
      </c>
      <c r="E52">
        <v>163</v>
      </c>
      <c r="F52">
        <v>150</v>
      </c>
      <c r="G52">
        <v>599</v>
      </c>
      <c r="I52">
        <v>449</v>
      </c>
      <c r="J52" t="s">
        <v>114</v>
      </c>
      <c r="L52">
        <f t="shared" si="1"/>
        <v>150</v>
      </c>
      <c r="M52">
        <v>4</v>
      </c>
    </row>
    <row r="53" spans="1:13" x14ac:dyDescent="0.25">
      <c r="A53">
        <v>69</v>
      </c>
      <c r="B53" t="s">
        <v>69</v>
      </c>
      <c r="C53">
        <v>140</v>
      </c>
      <c r="D53">
        <v>147</v>
      </c>
      <c r="E53">
        <v>153</v>
      </c>
      <c r="F53">
        <v>148</v>
      </c>
      <c r="G53">
        <v>588</v>
      </c>
      <c r="I53">
        <v>451</v>
      </c>
      <c r="J53" t="s">
        <v>114</v>
      </c>
      <c r="L53">
        <f t="shared" si="1"/>
        <v>137</v>
      </c>
      <c r="M53">
        <v>4</v>
      </c>
    </row>
    <row r="54" spans="1:13" x14ac:dyDescent="0.25">
      <c r="A54">
        <v>94</v>
      </c>
      <c r="B54" t="s">
        <v>91</v>
      </c>
      <c r="C54">
        <v>141</v>
      </c>
      <c r="D54">
        <v>161</v>
      </c>
      <c r="E54">
        <v>173</v>
      </c>
      <c r="F54">
        <v>144</v>
      </c>
      <c r="G54">
        <v>619</v>
      </c>
      <c r="I54">
        <v>451</v>
      </c>
      <c r="J54" t="s">
        <v>113</v>
      </c>
      <c r="L54">
        <f t="shared" si="1"/>
        <v>168</v>
      </c>
      <c r="M54">
        <v>4</v>
      </c>
    </row>
    <row r="55" spans="1:13" x14ac:dyDescent="0.25">
      <c r="A55">
        <v>115</v>
      </c>
      <c r="B55" t="s">
        <v>64</v>
      </c>
      <c r="C55">
        <v>150</v>
      </c>
      <c r="D55">
        <v>173</v>
      </c>
      <c r="E55">
        <v>175</v>
      </c>
      <c r="F55">
        <v>135</v>
      </c>
      <c r="G55">
        <v>633</v>
      </c>
      <c r="I55">
        <v>451</v>
      </c>
      <c r="J55" t="s">
        <v>113</v>
      </c>
      <c r="L55">
        <f t="shared" si="1"/>
        <v>182</v>
      </c>
      <c r="M55">
        <v>4</v>
      </c>
    </row>
    <row r="56" spans="1:13" x14ac:dyDescent="0.25">
      <c r="A56">
        <v>47</v>
      </c>
      <c r="B56" t="s">
        <v>35</v>
      </c>
      <c r="C56">
        <v>130</v>
      </c>
      <c r="D56">
        <v>146</v>
      </c>
      <c r="E56">
        <v>187</v>
      </c>
      <c r="F56">
        <v>173</v>
      </c>
      <c r="G56">
        <v>636</v>
      </c>
      <c r="I56">
        <v>452</v>
      </c>
      <c r="J56" t="s">
        <v>113</v>
      </c>
      <c r="L56">
        <f t="shared" si="1"/>
        <v>184</v>
      </c>
      <c r="M56">
        <v>4</v>
      </c>
    </row>
    <row r="57" spans="1:13" x14ac:dyDescent="0.25">
      <c r="A57">
        <v>78</v>
      </c>
      <c r="B57" t="s">
        <v>105</v>
      </c>
      <c r="C57">
        <v>149</v>
      </c>
      <c r="D57">
        <v>157</v>
      </c>
      <c r="E57">
        <v>153</v>
      </c>
      <c r="F57">
        <v>146</v>
      </c>
      <c r="G57">
        <v>605</v>
      </c>
      <c r="I57">
        <v>452</v>
      </c>
      <c r="J57" t="s">
        <v>113</v>
      </c>
      <c r="L57">
        <f t="shared" si="1"/>
        <v>153</v>
      </c>
      <c r="M57">
        <v>4</v>
      </c>
    </row>
    <row r="58" spans="1:13" x14ac:dyDescent="0.25">
      <c r="A58">
        <v>12</v>
      </c>
      <c r="B58" t="s">
        <v>89</v>
      </c>
      <c r="C58">
        <v>139</v>
      </c>
      <c r="D58">
        <v>167</v>
      </c>
      <c r="E58">
        <v>169</v>
      </c>
      <c r="F58">
        <v>138</v>
      </c>
      <c r="G58">
        <v>612</v>
      </c>
      <c r="I58">
        <v>455</v>
      </c>
      <c r="J58" t="s">
        <v>113</v>
      </c>
      <c r="L58">
        <f t="shared" si="1"/>
        <v>157</v>
      </c>
      <c r="M58">
        <v>4</v>
      </c>
    </row>
    <row r="59" spans="1:13" x14ac:dyDescent="0.25">
      <c r="A59">
        <v>26</v>
      </c>
      <c r="B59" t="s">
        <v>32</v>
      </c>
      <c r="C59">
        <v>175</v>
      </c>
      <c r="D59">
        <v>166</v>
      </c>
      <c r="E59">
        <v>136</v>
      </c>
      <c r="F59">
        <v>143</v>
      </c>
      <c r="G59">
        <v>620</v>
      </c>
      <c r="I59">
        <v>456</v>
      </c>
      <c r="J59" t="s">
        <v>113</v>
      </c>
      <c r="L59">
        <f t="shared" si="1"/>
        <v>164</v>
      </c>
      <c r="M59">
        <v>4</v>
      </c>
    </row>
    <row r="60" spans="1:13" hidden="1" x14ac:dyDescent="0.25">
      <c r="B60" t="s">
        <v>135</v>
      </c>
      <c r="G60" s="3" t="e">
        <f>AVERAGE(G1:G56)</f>
        <v>#REF!</v>
      </c>
      <c r="I60" s="3" t="e">
        <f>AVERAGE(I1:I56)</f>
        <v>#REF!</v>
      </c>
    </row>
    <row r="61" spans="1:13" x14ac:dyDescent="0.25">
      <c r="A61">
        <v>81</v>
      </c>
      <c r="B61" t="s">
        <v>95</v>
      </c>
      <c r="C61">
        <v>153</v>
      </c>
      <c r="D61">
        <v>155</v>
      </c>
      <c r="E61">
        <v>157</v>
      </c>
      <c r="F61">
        <v>159</v>
      </c>
      <c r="G61">
        <v>623</v>
      </c>
      <c r="I61">
        <v>458</v>
      </c>
      <c r="J61" t="s">
        <v>113</v>
      </c>
      <c r="L61">
        <f t="shared" ref="L61:L91" si="2">IF($G61="","",$G61-$I61)</f>
        <v>165</v>
      </c>
      <c r="M61">
        <v>4</v>
      </c>
    </row>
    <row r="62" spans="1:13" x14ac:dyDescent="0.25">
      <c r="A62">
        <v>66</v>
      </c>
      <c r="B62" t="s">
        <v>104</v>
      </c>
      <c r="C62">
        <v>122</v>
      </c>
      <c r="D62">
        <v>198</v>
      </c>
      <c r="E62">
        <v>198</v>
      </c>
      <c r="F62">
        <v>118</v>
      </c>
      <c r="G62">
        <v>636</v>
      </c>
      <c r="I62">
        <v>460</v>
      </c>
      <c r="J62" t="s">
        <v>113</v>
      </c>
      <c r="L62">
        <f t="shared" si="2"/>
        <v>176</v>
      </c>
      <c r="M62">
        <v>4</v>
      </c>
    </row>
    <row r="63" spans="1:13" x14ac:dyDescent="0.25">
      <c r="A63">
        <v>139</v>
      </c>
      <c r="B63" t="s">
        <v>182</v>
      </c>
      <c r="C63">
        <v>143</v>
      </c>
      <c r="D63">
        <v>161</v>
      </c>
      <c r="E63">
        <v>162</v>
      </c>
      <c r="F63">
        <v>147</v>
      </c>
      <c r="G63">
        <v>614</v>
      </c>
      <c r="I63">
        <v>461</v>
      </c>
      <c r="J63" t="s">
        <v>114</v>
      </c>
      <c r="L63">
        <f t="shared" si="2"/>
        <v>153</v>
      </c>
      <c r="M63">
        <v>4</v>
      </c>
    </row>
    <row r="64" spans="1:13" x14ac:dyDescent="0.25">
      <c r="A64">
        <v>36</v>
      </c>
      <c r="B64" t="s">
        <v>109</v>
      </c>
      <c r="C64">
        <v>143</v>
      </c>
      <c r="D64">
        <v>182</v>
      </c>
      <c r="E64">
        <v>175</v>
      </c>
      <c r="F64">
        <v>142</v>
      </c>
      <c r="G64">
        <v>640</v>
      </c>
      <c r="I64">
        <v>462</v>
      </c>
      <c r="J64" t="s">
        <v>113</v>
      </c>
      <c r="L64">
        <f t="shared" si="2"/>
        <v>178</v>
      </c>
      <c r="M64">
        <v>4</v>
      </c>
    </row>
    <row r="65" spans="1:13" x14ac:dyDescent="0.25">
      <c r="A65">
        <v>16</v>
      </c>
      <c r="B65" t="s">
        <v>65</v>
      </c>
      <c r="C65">
        <v>119</v>
      </c>
      <c r="D65">
        <v>165</v>
      </c>
      <c r="E65">
        <v>174</v>
      </c>
      <c r="F65">
        <v>131</v>
      </c>
      <c r="G65">
        <v>590</v>
      </c>
      <c r="I65">
        <v>463</v>
      </c>
      <c r="J65" t="s">
        <v>114</v>
      </c>
      <c r="L65">
        <f t="shared" si="2"/>
        <v>127</v>
      </c>
      <c r="M65">
        <v>4</v>
      </c>
    </row>
    <row r="66" spans="1:13" hidden="1" x14ac:dyDescent="0.25">
      <c r="A66">
        <v>101</v>
      </c>
      <c r="B66" t="s">
        <v>93</v>
      </c>
      <c r="C66">
        <v>166</v>
      </c>
      <c r="D66">
        <v>130</v>
      </c>
      <c r="E66">
        <v>138</v>
      </c>
      <c r="F66">
        <v>165</v>
      </c>
      <c r="G66">
        <v>600</v>
      </c>
      <c r="I66">
        <v>463</v>
      </c>
      <c r="J66" t="s">
        <v>113</v>
      </c>
      <c r="L66">
        <f t="shared" si="2"/>
        <v>137</v>
      </c>
      <c r="M66">
        <v>2</v>
      </c>
    </row>
    <row r="67" spans="1:13" hidden="1" x14ac:dyDescent="0.25">
      <c r="A67">
        <v>109</v>
      </c>
      <c r="B67" t="s">
        <v>53</v>
      </c>
      <c r="C67">
        <v>143</v>
      </c>
      <c r="D67">
        <v>182</v>
      </c>
      <c r="E67">
        <v>178</v>
      </c>
      <c r="F67">
        <v>149</v>
      </c>
      <c r="G67">
        <v>652</v>
      </c>
      <c r="I67">
        <v>464</v>
      </c>
      <c r="J67" t="s">
        <v>112</v>
      </c>
      <c r="L67">
        <f t="shared" si="2"/>
        <v>188</v>
      </c>
      <c r="M67">
        <v>1</v>
      </c>
    </row>
    <row r="68" spans="1:13" x14ac:dyDescent="0.25">
      <c r="A68">
        <v>124</v>
      </c>
      <c r="B68" t="s">
        <v>106</v>
      </c>
      <c r="C68">
        <v>155</v>
      </c>
      <c r="D68">
        <v>145</v>
      </c>
      <c r="E68">
        <v>165</v>
      </c>
      <c r="F68">
        <v>169</v>
      </c>
      <c r="G68">
        <v>634</v>
      </c>
      <c r="I68">
        <v>464</v>
      </c>
      <c r="J68" t="s">
        <v>113</v>
      </c>
      <c r="L68">
        <f t="shared" si="2"/>
        <v>170</v>
      </c>
      <c r="M68">
        <v>4</v>
      </c>
    </row>
    <row r="69" spans="1:13" x14ac:dyDescent="0.25">
      <c r="A69">
        <v>93</v>
      </c>
      <c r="B69" t="s">
        <v>175</v>
      </c>
      <c r="C69">
        <v>134</v>
      </c>
      <c r="D69">
        <v>160</v>
      </c>
      <c r="E69">
        <v>170</v>
      </c>
      <c r="F69">
        <v>147</v>
      </c>
      <c r="G69">
        <v>611</v>
      </c>
      <c r="I69">
        <v>465</v>
      </c>
      <c r="J69" t="s">
        <v>114</v>
      </c>
      <c r="L69">
        <f t="shared" si="2"/>
        <v>146</v>
      </c>
      <c r="M69">
        <v>4</v>
      </c>
    </row>
    <row r="70" spans="1:13" hidden="1" x14ac:dyDescent="0.25">
      <c r="A70">
        <v>110</v>
      </c>
      <c r="B70" t="s">
        <v>66</v>
      </c>
      <c r="C70">
        <v>138</v>
      </c>
      <c r="D70">
        <v>180</v>
      </c>
      <c r="E70">
        <v>190</v>
      </c>
      <c r="F70">
        <v>161</v>
      </c>
      <c r="G70">
        <v>673</v>
      </c>
      <c r="I70">
        <v>465</v>
      </c>
      <c r="J70" t="s">
        <v>114</v>
      </c>
      <c r="L70">
        <f t="shared" si="2"/>
        <v>208</v>
      </c>
      <c r="M70">
        <v>2</v>
      </c>
    </row>
    <row r="71" spans="1:13" x14ac:dyDescent="0.25">
      <c r="A71">
        <v>126</v>
      </c>
      <c r="B71" t="s">
        <v>107</v>
      </c>
      <c r="C71">
        <v>122</v>
      </c>
      <c r="D71">
        <v>159</v>
      </c>
      <c r="E71">
        <v>189</v>
      </c>
      <c r="F71">
        <v>144</v>
      </c>
      <c r="G71">
        <v>614</v>
      </c>
      <c r="I71">
        <v>465</v>
      </c>
      <c r="J71" t="s">
        <v>114</v>
      </c>
      <c r="L71">
        <f t="shared" si="2"/>
        <v>149</v>
      </c>
      <c r="M71">
        <v>4</v>
      </c>
    </row>
    <row r="72" spans="1:13" x14ac:dyDescent="0.25">
      <c r="A72">
        <v>19</v>
      </c>
      <c r="B72" t="s">
        <v>67</v>
      </c>
      <c r="C72">
        <v>143</v>
      </c>
      <c r="D72">
        <v>165</v>
      </c>
      <c r="E72">
        <v>165</v>
      </c>
      <c r="F72">
        <v>153</v>
      </c>
      <c r="G72">
        <v>625</v>
      </c>
      <c r="I72">
        <v>466</v>
      </c>
      <c r="J72" t="s">
        <v>114</v>
      </c>
      <c r="L72">
        <f t="shared" si="2"/>
        <v>159</v>
      </c>
      <c r="M72">
        <v>4</v>
      </c>
    </row>
    <row r="73" spans="1:13" x14ac:dyDescent="0.25">
      <c r="A73" s="10">
        <v>92</v>
      </c>
      <c r="B73" s="10" t="s">
        <v>100</v>
      </c>
      <c r="C73">
        <v>148</v>
      </c>
      <c r="D73">
        <v>161</v>
      </c>
      <c r="E73">
        <v>171</v>
      </c>
      <c r="F73">
        <v>163</v>
      </c>
      <c r="G73">
        <v>643</v>
      </c>
      <c r="I73">
        <v>466</v>
      </c>
      <c r="J73" t="s">
        <v>114</v>
      </c>
      <c r="L73">
        <f t="shared" si="2"/>
        <v>177</v>
      </c>
      <c r="M73">
        <v>4</v>
      </c>
    </row>
    <row r="74" spans="1:13" x14ac:dyDescent="0.25">
      <c r="A74">
        <v>125</v>
      </c>
      <c r="B74" t="s">
        <v>108</v>
      </c>
      <c r="C74">
        <v>143</v>
      </c>
      <c r="D74">
        <v>176</v>
      </c>
      <c r="E74">
        <v>178</v>
      </c>
      <c r="F74">
        <v>153</v>
      </c>
      <c r="G74">
        <v>649</v>
      </c>
      <c r="I74">
        <v>467</v>
      </c>
      <c r="J74" t="s">
        <v>113</v>
      </c>
      <c r="L74">
        <f t="shared" si="2"/>
        <v>182</v>
      </c>
      <c r="M74">
        <v>4</v>
      </c>
    </row>
    <row r="75" spans="1:13" x14ac:dyDescent="0.25">
      <c r="A75">
        <v>34</v>
      </c>
      <c r="B75" t="s">
        <v>48</v>
      </c>
      <c r="C75">
        <v>153</v>
      </c>
      <c r="D75">
        <v>151</v>
      </c>
      <c r="E75">
        <v>164</v>
      </c>
      <c r="F75">
        <v>164</v>
      </c>
      <c r="G75">
        <v>631</v>
      </c>
      <c r="I75">
        <v>468</v>
      </c>
      <c r="J75" t="s">
        <v>114</v>
      </c>
      <c r="L75">
        <f t="shared" si="2"/>
        <v>163</v>
      </c>
      <c r="M75">
        <v>4</v>
      </c>
    </row>
    <row r="76" spans="1:13" x14ac:dyDescent="0.25">
      <c r="A76">
        <v>56</v>
      </c>
      <c r="B76" t="s">
        <v>76</v>
      </c>
      <c r="C76">
        <v>117</v>
      </c>
      <c r="D76">
        <v>170</v>
      </c>
      <c r="E76">
        <v>183</v>
      </c>
      <c r="F76">
        <v>121</v>
      </c>
      <c r="G76">
        <v>591</v>
      </c>
      <c r="I76">
        <v>468</v>
      </c>
      <c r="J76" t="s">
        <v>114</v>
      </c>
      <c r="L76">
        <f t="shared" si="2"/>
        <v>123</v>
      </c>
      <c r="M76">
        <v>4</v>
      </c>
    </row>
    <row r="77" spans="1:13" hidden="1" x14ac:dyDescent="0.25">
      <c r="A77">
        <v>104</v>
      </c>
      <c r="B77" t="s">
        <v>178</v>
      </c>
      <c r="C77">
        <v>178</v>
      </c>
      <c r="D77">
        <v>176</v>
      </c>
      <c r="E77">
        <v>178</v>
      </c>
      <c r="F77">
        <v>174</v>
      </c>
      <c r="G77">
        <v>706</v>
      </c>
      <c r="I77">
        <v>469</v>
      </c>
      <c r="J77" t="s">
        <v>114</v>
      </c>
      <c r="L77">
        <f t="shared" si="2"/>
        <v>237</v>
      </c>
      <c r="M77">
        <v>1</v>
      </c>
    </row>
    <row r="78" spans="1:13" x14ac:dyDescent="0.25">
      <c r="A78">
        <v>132</v>
      </c>
      <c r="B78" t="s">
        <v>45</v>
      </c>
      <c r="C78">
        <v>136</v>
      </c>
      <c r="D78">
        <v>148</v>
      </c>
      <c r="E78">
        <v>181</v>
      </c>
      <c r="F78">
        <v>174</v>
      </c>
      <c r="G78">
        <v>639</v>
      </c>
      <c r="I78">
        <v>469</v>
      </c>
      <c r="J78" t="s">
        <v>113</v>
      </c>
      <c r="L78">
        <f t="shared" si="2"/>
        <v>170</v>
      </c>
      <c r="M78">
        <v>4</v>
      </c>
    </row>
    <row r="79" spans="1:13" x14ac:dyDescent="0.25">
      <c r="A79">
        <v>118</v>
      </c>
      <c r="B79" t="s">
        <v>83</v>
      </c>
      <c r="C79">
        <v>157</v>
      </c>
      <c r="D79">
        <v>164</v>
      </c>
      <c r="E79">
        <v>165</v>
      </c>
      <c r="F79">
        <v>159</v>
      </c>
      <c r="G79">
        <v>647</v>
      </c>
      <c r="I79">
        <v>470</v>
      </c>
      <c r="J79" t="s">
        <v>113</v>
      </c>
      <c r="L79">
        <f t="shared" si="2"/>
        <v>177</v>
      </c>
      <c r="M79">
        <v>4</v>
      </c>
    </row>
    <row r="80" spans="1:13" x14ac:dyDescent="0.25">
      <c r="A80">
        <v>39</v>
      </c>
      <c r="B80" t="s">
        <v>44</v>
      </c>
      <c r="C80">
        <v>164</v>
      </c>
      <c r="D80">
        <v>162</v>
      </c>
      <c r="E80">
        <v>171</v>
      </c>
      <c r="F80">
        <v>162</v>
      </c>
      <c r="G80">
        <v>660</v>
      </c>
      <c r="I80">
        <v>471</v>
      </c>
      <c r="J80" t="s">
        <v>113</v>
      </c>
      <c r="L80">
        <f t="shared" si="2"/>
        <v>189</v>
      </c>
      <c r="M80">
        <v>4</v>
      </c>
    </row>
    <row r="81" spans="1:13" x14ac:dyDescent="0.25">
      <c r="A81">
        <v>64</v>
      </c>
      <c r="B81" t="s">
        <v>54</v>
      </c>
      <c r="C81">
        <v>142</v>
      </c>
      <c r="D81">
        <v>161</v>
      </c>
      <c r="E81">
        <v>173</v>
      </c>
      <c r="F81">
        <v>153</v>
      </c>
      <c r="G81">
        <v>629</v>
      </c>
      <c r="I81">
        <v>471</v>
      </c>
      <c r="J81" t="s">
        <v>114</v>
      </c>
      <c r="L81">
        <f t="shared" si="2"/>
        <v>158</v>
      </c>
      <c r="M81">
        <v>4</v>
      </c>
    </row>
    <row r="82" spans="1:13" x14ac:dyDescent="0.25">
      <c r="A82">
        <v>77</v>
      </c>
      <c r="B82" t="s">
        <v>92</v>
      </c>
      <c r="C82">
        <v>171</v>
      </c>
      <c r="D82">
        <v>178</v>
      </c>
      <c r="E82">
        <v>161</v>
      </c>
      <c r="F82">
        <v>157</v>
      </c>
      <c r="G82">
        <v>667</v>
      </c>
      <c r="I82">
        <v>473</v>
      </c>
      <c r="J82" t="s">
        <v>113</v>
      </c>
      <c r="L82">
        <f t="shared" si="2"/>
        <v>194</v>
      </c>
      <c r="M82">
        <v>4</v>
      </c>
    </row>
    <row r="83" spans="1:13" x14ac:dyDescent="0.25">
      <c r="A83">
        <v>21</v>
      </c>
      <c r="B83" t="s">
        <v>40</v>
      </c>
      <c r="C83">
        <v>144</v>
      </c>
      <c r="D83">
        <v>156</v>
      </c>
      <c r="E83">
        <v>175</v>
      </c>
      <c r="F83">
        <v>159</v>
      </c>
      <c r="G83">
        <v>633</v>
      </c>
      <c r="I83">
        <v>474</v>
      </c>
      <c r="J83" t="s">
        <v>113</v>
      </c>
      <c r="L83">
        <f t="shared" si="2"/>
        <v>159</v>
      </c>
      <c r="M83">
        <v>4</v>
      </c>
    </row>
    <row r="84" spans="1:13" x14ac:dyDescent="0.25">
      <c r="A84">
        <v>52</v>
      </c>
      <c r="B84" t="s">
        <v>99</v>
      </c>
      <c r="C84">
        <v>155</v>
      </c>
      <c r="D84">
        <v>170</v>
      </c>
      <c r="E84">
        <v>163</v>
      </c>
      <c r="F84">
        <v>142</v>
      </c>
      <c r="G84">
        <v>630</v>
      </c>
      <c r="I84">
        <v>474</v>
      </c>
      <c r="J84" t="s">
        <v>113</v>
      </c>
      <c r="L84">
        <f t="shared" si="2"/>
        <v>156</v>
      </c>
      <c r="M84">
        <v>4</v>
      </c>
    </row>
    <row r="85" spans="1:13" hidden="1" x14ac:dyDescent="0.25">
      <c r="A85">
        <v>72</v>
      </c>
      <c r="B85" t="s">
        <v>63</v>
      </c>
      <c r="C85">
        <v>178</v>
      </c>
      <c r="D85">
        <v>159</v>
      </c>
      <c r="E85">
        <v>129</v>
      </c>
      <c r="F85">
        <v>154</v>
      </c>
      <c r="G85">
        <v>620</v>
      </c>
      <c r="I85">
        <v>475</v>
      </c>
      <c r="J85" t="s">
        <v>113</v>
      </c>
      <c r="L85">
        <f t="shared" si="2"/>
        <v>145</v>
      </c>
      <c r="M85">
        <v>1</v>
      </c>
    </row>
    <row r="86" spans="1:13" x14ac:dyDescent="0.25">
      <c r="A86">
        <v>91</v>
      </c>
      <c r="B86" t="s">
        <v>57</v>
      </c>
      <c r="C86">
        <v>129</v>
      </c>
      <c r="D86">
        <v>175</v>
      </c>
      <c r="E86">
        <v>181</v>
      </c>
      <c r="F86">
        <v>140</v>
      </c>
      <c r="G86">
        <v>624</v>
      </c>
      <c r="I86">
        <v>479</v>
      </c>
      <c r="J86" t="s">
        <v>114</v>
      </c>
      <c r="L86">
        <f t="shared" si="2"/>
        <v>145</v>
      </c>
      <c r="M86">
        <v>4</v>
      </c>
    </row>
    <row r="87" spans="1:13" x14ac:dyDescent="0.25">
      <c r="A87">
        <v>71</v>
      </c>
      <c r="B87" t="s">
        <v>169</v>
      </c>
      <c r="C87">
        <v>144</v>
      </c>
      <c r="D87">
        <v>176</v>
      </c>
      <c r="E87">
        <v>175</v>
      </c>
      <c r="F87">
        <v>130</v>
      </c>
      <c r="G87">
        <v>627</v>
      </c>
      <c r="I87">
        <v>482</v>
      </c>
      <c r="J87" t="s">
        <v>114</v>
      </c>
      <c r="L87">
        <f t="shared" si="2"/>
        <v>145</v>
      </c>
      <c r="M87">
        <v>4</v>
      </c>
    </row>
    <row r="88" spans="1:13" x14ac:dyDescent="0.25">
      <c r="A88">
        <v>100</v>
      </c>
      <c r="B88" t="s">
        <v>59</v>
      </c>
      <c r="C88">
        <v>161</v>
      </c>
      <c r="D88">
        <v>173</v>
      </c>
      <c r="E88">
        <v>158</v>
      </c>
      <c r="F88">
        <v>149</v>
      </c>
      <c r="G88">
        <v>641</v>
      </c>
      <c r="I88">
        <v>483</v>
      </c>
      <c r="J88" t="s">
        <v>112</v>
      </c>
      <c r="L88">
        <f t="shared" si="2"/>
        <v>158</v>
      </c>
      <c r="M88">
        <v>4</v>
      </c>
    </row>
    <row r="89" spans="1:13" x14ac:dyDescent="0.25">
      <c r="A89">
        <v>40</v>
      </c>
      <c r="B89" t="s">
        <v>162</v>
      </c>
      <c r="C89">
        <v>149</v>
      </c>
      <c r="D89">
        <v>170</v>
      </c>
      <c r="E89">
        <v>187</v>
      </c>
      <c r="F89">
        <v>154</v>
      </c>
      <c r="G89">
        <v>659</v>
      </c>
      <c r="I89">
        <v>489</v>
      </c>
      <c r="J89" t="s">
        <v>113</v>
      </c>
      <c r="L89">
        <f t="shared" si="2"/>
        <v>170</v>
      </c>
      <c r="M89">
        <v>4</v>
      </c>
    </row>
    <row r="90" spans="1:13" x14ac:dyDescent="0.25">
      <c r="A90">
        <v>75</v>
      </c>
      <c r="B90" t="s">
        <v>170</v>
      </c>
      <c r="C90">
        <v>156</v>
      </c>
      <c r="D90">
        <v>172</v>
      </c>
      <c r="E90">
        <v>162</v>
      </c>
      <c r="F90">
        <v>149</v>
      </c>
      <c r="G90">
        <v>639</v>
      </c>
      <c r="I90">
        <v>491</v>
      </c>
      <c r="J90" t="s">
        <v>114</v>
      </c>
      <c r="L90">
        <f t="shared" si="2"/>
        <v>148</v>
      </c>
      <c r="M90">
        <v>4</v>
      </c>
    </row>
    <row r="91" spans="1:13" x14ac:dyDescent="0.25">
      <c r="A91">
        <v>122</v>
      </c>
      <c r="B91" t="s">
        <v>68</v>
      </c>
      <c r="C91">
        <v>147</v>
      </c>
      <c r="D91">
        <v>175</v>
      </c>
      <c r="E91">
        <v>188</v>
      </c>
      <c r="F91">
        <v>156</v>
      </c>
      <c r="G91">
        <v>667</v>
      </c>
      <c r="I91">
        <v>491</v>
      </c>
      <c r="J91" t="s">
        <v>112</v>
      </c>
      <c r="L91">
        <f t="shared" si="2"/>
        <v>176</v>
      </c>
      <c r="M91">
        <v>4</v>
      </c>
    </row>
    <row r="92" spans="1:13" x14ac:dyDescent="0.25">
      <c r="A92">
        <v>108</v>
      </c>
      <c r="B92" t="s">
        <v>30</v>
      </c>
      <c r="C92">
        <v>162</v>
      </c>
      <c r="D92">
        <v>172</v>
      </c>
      <c r="E92">
        <v>166</v>
      </c>
      <c r="F92">
        <v>147</v>
      </c>
      <c r="G92">
        <v>647</v>
      </c>
      <c r="I92">
        <v>498</v>
      </c>
      <c r="J92" t="s">
        <v>113</v>
      </c>
      <c r="M92">
        <v>4</v>
      </c>
    </row>
    <row r="93" spans="1:13" x14ac:dyDescent="0.25">
      <c r="A93">
        <v>51</v>
      </c>
      <c r="B93" t="s">
        <v>55</v>
      </c>
      <c r="C93">
        <v>141</v>
      </c>
      <c r="D93">
        <v>155</v>
      </c>
      <c r="E93">
        <v>179</v>
      </c>
      <c r="F93">
        <v>165</v>
      </c>
      <c r="G93">
        <v>639</v>
      </c>
      <c r="I93">
        <v>499</v>
      </c>
      <c r="J93" t="s">
        <v>114</v>
      </c>
      <c r="L93">
        <f t="shared" ref="L93:L107" si="3">IF($G93="","",$G93-$I93)</f>
        <v>140</v>
      </c>
      <c r="M93">
        <v>4</v>
      </c>
    </row>
    <row r="94" spans="1:13" x14ac:dyDescent="0.25">
      <c r="A94">
        <v>117</v>
      </c>
      <c r="B94" t="s">
        <v>74</v>
      </c>
      <c r="C94">
        <v>158</v>
      </c>
      <c r="D94">
        <v>172</v>
      </c>
      <c r="E94">
        <v>184</v>
      </c>
      <c r="F94">
        <v>175</v>
      </c>
      <c r="G94">
        <v>688</v>
      </c>
      <c r="I94">
        <v>500</v>
      </c>
      <c r="J94" t="s">
        <v>114</v>
      </c>
      <c r="L94">
        <f t="shared" si="3"/>
        <v>188</v>
      </c>
      <c r="M94">
        <v>4</v>
      </c>
    </row>
    <row r="95" spans="1:13" hidden="1" x14ac:dyDescent="0.25">
      <c r="A95">
        <v>54</v>
      </c>
      <c r="B95" t="s">
        <v>42</v>
      </c>
      <c r="C95">
        <v>179</v>
      </c>
      <c r="D95">
        <v>190</v>
      </c>
      <c r="E95">
        <v>157</v>
      </c>
      <c r="F95">
        <v>155</v>
      </c>
      <c r="G95">
        <v>681</v>
      </c>
      <c r="I95">
        <v>503</v>
      </c>
      <c r="J95" t="s">
        <v>114</v>
      </c>
      <c r="L95">
        <f t="shared" si="3"/>
        <v>178</v>
      </c>
      <c r="M95">
        <v>2</v>
      </c>
    </row>
    <row r="96" spans="1:13" hidden="1" x14ac:dyDescent="0.25">
      <c r="A96">
        <v>17</v>
      </c>
      <c r="B96" t="s">
        <v>87</v>
      </c>
      <c r="C96">
        <v>176</v>
      </c>
      <c r="D96">
        <v>165</v>
      </c>
      <c r="E96">
        <v>169</v>
      </c>
      <c r="F96">
        <v>165</v>
      </c>
      <c r="G96">
        <v>674</v>
      </c>
      <c r="I96">
        <v>511</v>
      </c>
      <c r="J96" t="s">
        <v>114</v>
      </c>
      <c r="L96">
        <f t="shared" si="3"/>
        <v>163</v>
      </c>
      <c r="M96">
        <v>2</v>
      </c>
    </row>
    <row r="97" spans="1:13" x14ac:dyDescent="0.25">
      <c r="A97">
        <v>42</v>
      </c>
      <c r="B97" t="s">
        <v>163</v>
      </c>
      <c r="C97">
        <v>173</v>
      </c>
      <c r="D97">
        <v>169</v>
      </c>
      <c r="E97">
        <v>176</v>
      </c>
      <c r="F97">
        <v>172</v>
      </c>
      <c r="G97">
        <v>690</v>
      </c>
      <c r="I97">
        <v>524</v>
      </c>
      <c r="J97" t="s">
        <v>113</v>
      </c>
      <c r="L97">
        <f t="shared" si="3"/>
        <v>166</v>
      </c>
      <c r="M97">
        <v>4</v>
      </c>
    </row>
    <row r="98" spans="1:13" x14ac:dyDescent="0.25">
      <c r="A98">
        <v>49</v>
      </c>
      <c r="B98" t="s">
        <v>166</v>
      </c>
      <c r="C98">
        <v>170</v>
      </c>
      <c r="D98">
        <v>183</v>
      </c>
      <c r="E98">
        <v>186</v>
      </c>
      <c r="F98">
        <v>171</v>
      </c>
      <c r="G98">
        <v>710</v>
      </c>
      <c r="I98">
        <v>533</v>
      </c>
      <c r="J98" t="s">
        <v>113</v>
      </c>
      <c r="L98">
        <f t="shared" si="3"/>
        <v>177</v>
      </c>
      <c r="M98">
        <v>4</v>
      </c>
    </row>
    <row r="99" spans="1:13" x14ac:dyDescent="0.25">
      <c r="A99">
        <v>20</v>
      </c>
      <c r="B99" t="s">
        <v>70</v>
      </c>
      <c r="C99">
        <v>163</v>
      </c>
      <c r="D99">
        <v>186</v>
      </c>
      <c r="E99">
        <v>193</v>
      </c>
      <c r="F99">
        <v>181</v>
      </c>
      <c r="G99">
        <v>723</v>
      </c>
      <c r="I99">
        <v>536</v>
      </c>
      <c r="J99" t="s">
        <v>113</v>
      </c>
      <c r="L99">
        <f t="shared" si="3"/>
        <v>187</v>
      </c>
      <c r="M99">
        <v>4</v>
      </c>
    </row>
    <row r="100" spans="1:13" x14ac:dyDescent="0.25">
      <c r="A100">
        <v>70</v>
      </c>
      <c r="B100" t="s">
        <v>101</v>
      </c>
      <c r="C100">
        <v>153</v>
      </c>
      <c r="D100">
        <v>177</v>
      </c>
      <c r="E100">
        <v>187</v>
      </c>
      <c r="F100">
        <v>160</v>
      </c>
      <c r="G100">
        <v>678</v>
      </c>
      <c r="I100">
        <v>536</v>
      </c>
      <c r="J100" t="s">
        <v>113</v>
      </c>
      <c r="L100">
        <f t="shared" si="3"/>
        <v>142</v>
      </c>
      <c r="M100">
        <v>4</v>
      </c>
    </row>
    <row r="101" spans="1:13" x14ac:dyDescent="0.25">
      <c r="A101">
        <v>111</v>
      </c>
      <c r="B101" t="s">
        <v>77</v>
      </c>
      <c r="C101">
        <v>149</v>
      </c>
      <c r="D101">
        <v>181</v>
      </c>
      <c r="E101">
        <v>185</v>
      </c>
      <c r="F101">
        <v>156</v>
      </c>
      <c r="G101">
        <v>672</v>
      </c>
      <c r="I101">
        <v>545</v>
      </c>
      <c r="J101" t="s">
        <v>112</v>
      </c>
      <c r="L101">
        <f t="shared" si="3"/>
        <v>127</v>
      </c>
      <c r="M101">
        <v>4</v>
      </c>
    </row>
    <row r="102" spans="1:13" x14ac:dyDescent="0.25">
      <c r="A102">
        <v>41</v>
      </c>
      <c r="B102" t="s">
        <v>43</v>
      </c>
      <c r="C102">
        <v>183</v>
      </c>
      <c r="D102">
        <v>206</v>
      </c>
      <c r="E102">
        <v>183</v>
      </c>
      <c r="F102">
        <v>162</v>
      </c>
      <c r="G102">
        <v>734</v>
      </c>
      <c r="I102">
        <v>547</v>
      </c>
      <c r="J102" t="s">
        <v>114</v>
      </c>
      <c r="L102">
        <f t="shared" si="3"/>
        <v>187</v>
      </c>
      <c r="M102">
        <v>4</v>
      </c>
    </row>
    <row r="103" spans="1:13" hidden="1" x14ac:dyDescent="0.25">
      <c r="A103">
        <v>35</v>
      </c>
      <c r="B103" t="s">
        <v>86</v>
      </c>
      <c r="C103">
        <v>158</v>
      </c>
      <c r="D103">
        <v>182</v>
      </c>
      <c r="E103">
        <v>189</v>
      </c>
      <c r="F103">
        <v>176</v>
      </c>
      <c r="G103">
        <v>705</v>
      </c>
      <c r="I103">
        <v>549</v>
      </c>
      <c r="J103" t="s">
        <v>113</v>
      </c>
      <c r="L103">
        <f t="shared" si="3"/>
        <v>156</v>
      </c>
      <c r="M103">
        <v>3</v>
      </c>
    </row>
    <row r="104" spans="1:13" x14ac:dyDescent="0.25">
      <c r="A104">
        <v>102</v>
      </c>
      <c r="B104" t="s">
        <v>56</v>
      </c>
      <c r="C104">
        <v>199</v>
      </c>
      <c r="D104">
        <v>172</v>
      </c>
      <c r="E104">
        <v>169</v>
      </c>
      <c r="F104">
        <v>188</v>
      </c>
      <c r="G104">
        <v>729</v>
      </c>
      <c r="I104">
        <v>549</v>
      </c>
      <c r="J104" t="s">
        <v>114</v>
      </c>
      <c r="L104">
        <f t="shared" si="3"/>
        <v>180</v>
      </c>
      <c r="M104">
        <v>4</v>
      </c>
    </row>
    <row r="105" spans="1:13" x14ac:dyDescent="0.25">
      <c r="A105">
        <v>97</v>
      </c>
      <c r="B105" t="s">
        <v>82</v>
      </c>
      <c r="C105" s="10">
        <v>195</v>
      </c>
      <c r="D105" s="10">
        <v>218</v>
      </c>
      <c r="E105" s="10">
        <v>203</v>
      </c>
      <c r="F105" s="10">
        <v>179</v>
      </c>
      <c r="G105" s="10">
        <v>796</v>
      </c>
      <c r="H105" s="22"/>
      <c r="I105" s="10">
        <v>555</v>
      </c>
      <c r="J105" s="10" t="s">
        <v>114</v>
      </c>
      <c r="K105" s="22"/>
      <c r="L105" s="10">
        <f t="shared" si="3"/>
        <v>241</v>
      </c>
      <c r="M105" s="10">
        <v>4</v>
      </c>
    </row>
    <row r="106" spans="1:13" x14ac:dyDescent="0.25">
      <c r="A106">
        <v>98</v>
      </c>
      <c r="B106" t="s">
        <v>177</v>
      </c>
      <c r="C106">
        <v>224</v>
      </c>
      <c r="D106">
        <v>198</v>
      </c>
      <c r="E106">
        <v>173</v>
      </c>
      <c r="F106">
        <v>193</v>
      </c>
      <c r="G106">
        <v>788</v>
      </c>
      <c r="I106">
        <v>561</v>
      </c>
      <c r="J106" t="s">
        <v>114</v>
      </c>
      <c r="L106">
        <f t="shared" si="3"/>
        <v>227</v>
      </c>
      <c r="M106">
        <v>4</v>
      </c>
    </row>
    <row r="107" spans="1:13" x14ac:dyDescent="0.25">
      <c r="A107">
        <v>44</v>
      </c>
      <c r="B107" t="s">
        <v>164</v>
      </c>
      <c r="C107">
        <v>159</v>
      </c>
      <c r="D107">
        <v>226</v>
      </c>
      <c r="E107">
        <v>205</v>
      </c>
      <c r="F107">
        <v>136</v>
      </c>
      <c r="G107">
        <v>725</v>
      </c>
      <c r="I107">
        <v>563</v>
      </c>
      <c r="J107" t="s">
        <v>113</v>
      </c>
      <c r="L107">
        <f t="shared" si="3"/>
        <v>162</v>
      </c>
      <c r="M107">
        <v>4</v>
      </c>
    </row>
    <row r="108" spans="1:13" hidden="1" x14ac:dyDescent="0.25">
      <c r="B108" t="s">
        <v>145</v>
      </c>
      <c r="G108" t="e">
        <f>_xlfn.PERCENTILE.EXC(G1:G100,0.95)</f>
        <v>#REF!</v>
      </c>
      <c r="I108" t="e">
        <f>_xlfn.PERCENTILE.EXC(I1:I100,0.95)</f>
        <v>#REF!</v>
      </c>
    </row>
    <row r="109" spans="1:13" x14ac:dyDescent="0.25">
      <c r="A109">
        <v>83</v>
      </c>
      <c r="B109" t="s">
        <v>172</v>
      </c>
      <c r="C109">
        <v>153</v>
      </c>
      <c r="D109">
        <v>204</v>
      </c>
      <c r="E109">
        <v>210</v>
      </c>
      <c r="F109">
        <v>154</v>
      </c>
      <c r="G109">
        <v>722</v>
      </c>
      <c r="I109">
        <v>565</v>
      </c>
      <c r="J109" t="s">
        <v>114</v>
      </c>
      <c r="L109">
        <f>IF($G109="","",$G109-$I109)</f>
        <v>157</v>
      </c>
      <c r="M109">
        <v>4</v>
      </c>
    </row>
    <row r="110" spans="1:13" x14ac:dyDescent="0.25">
      <c r="A110">
        <v>32</v>
      </c>
      <c r="B110" t="s">
        <v>161</v>
      </c>
      <c r="C110">
        <v>197</v>
      </c>
      <c r="D110">
        <v>210</v>
      </c>
      <c r="E110">
        <v>184</v>
      </c>
      <c r="F110">
        <v>171</v>
      </c>
      <c r="G110">
        <v>762</v>
      </c>
      <c r="I110">
        <v>578</v>
      </c>
      <c r="J110" t="s">
        <v>113</v>
      </c>
      <c r="L110">
        <f>IF($G110="","",$G110-$I110)</f>
        <v>184</v>
      </c>
      <c r="M110">
        <v>4</v>
      </c>
    </row>
    <row r="111" spans="1:13" x14ac:dyDescent="0.25">
      <c r="A111">
        <v>76</v>
      </c>
      <c r="B111" t="s">
        <v>171</v>
      </c>
      <c r="C111">
        <v>188</v>
      </c>
      <c r="D111">
        <v>202</v>
      </c>
      <c r="E111">
        <v>181</v>
      </c>
      <c r="F111">
        <v>167</v>
      </c>
      <c r="G111">
        <v>739</v>
      </c>
      <c r="I111">
        <v>599</v>
      </c>
      <c r="J111" t="s">
        <v>114</v>
      </c>
      <c r="L111">
        <f>IF($G111="","",$G111-$I111)</f>
        <v>140</v>
      </c>
      <c r="M111">
        <v>4</v>
      </c>
    </row>
    <row r="112" spans="1:13" x14ac:dyDescent="0.25">
      <c r="A112">
        <v>114</v>
      </c>
      <c r="B112" t="s">
        <v>179</v>
      </c>
      <c r="C112">
        <v>162</v>
      </c>
      <c r="D112">
        <v>217</v>
      </c>
      <c r="E112">
        <v>245</v>
      </c>
      <c r="F112">
        <v>183</v>
      </c>
      <c r="G112">
        <v>805</v>
      </c>
      <c r="I112">
        <v>661</v>
      </c>
      <c r="J112" t="s">
        <v>114</v>
      </c>
      <c r="L112">
        <f>IF($G112="","",$G112-$I112)</f>
        <v>144</v>
      </c>
      <c r="M112">
        <v>4</v>
      </c>
    </row>
    <row r="113" spans="1:13" x14ac:dyDescent="0.25">
      <c r="A113">
        <v>131</v>
      </c>
      <c r="B113" t="s">
        <v>181</v>
      </c>
      <c r="C113">
        <v>194</v>
      </c>
      <c r="D113">
        <v>274</v>
      </c>
      <c r="E113">
        <v>260</v>
      </c>
      <c r="F113">
        <v>170</v>
      </c>
      <c r="G113">
        <v>898</v>
      </c>
      <c r="I113">
        <v>712</v>
      </c>
      <c r="J113" t="s">
        <v>114</v>
      </c>
      <c r="L113">
        <f>IF($G113="","",$G113-$I113)</f>
        <v>186</v>
      </c>
      <c r="M113">
        <v>4</v>
      </c>
    </row>
    <row r="114" spans="1:13" hidden="1" x14ac:dyDescent="0.25">
      <c r="B114" t="s">
        <v>138</v>
      </c>
      <c r="G114" t="e">
        <f>MAX(G1:G108)</f>
        <v>#REF!</v>
      </c>
      <c r="I114" t="e">
        <f>MAX(I1:I108)</f>
        <v>#REF!</v>
      </c>
    </row>
    <row r="115" spans="1:13" hidden="1" x14ac:dyDescent="0.25">
      <c r="A115" s="17">
        <v>25</v>
      </c>
      <c r="B115" s="17" t="s">
        <v>160</v>
      </c>
      <c r="C115" s="17"/>
      <c r="D115" s="17"/>
      <c r="E115" s="17"/>
      <c r="F115" s="17"/>
      <c r="G115" s="17"/>
      <c r="I115" s="17"/>
      <c r="J115" s="17"/>
      <c r="L115" s="17" t="str">
        <f t="shared" ref="L115:L127" si="4">IF($G115="","",$G115-$I115)</f>
        <v/>
      </c>
      <c r="M115" s="17"/>
    </row>
    <row r="116" spans="1:13" hidden="1" x14ac:dyDescent="0.25">
      <c r="A116" s="17">
        <v>48</v>
      </c>
      <c r="B116" s="17" t="s">
        <v>165</v>
      </c>
      <c r="C116" s="17"/>
      <c r="D116" s="17"/>
      <c r="E116" s="17"/>
      <c r="F116" s="17"/>
      <c r="G116" s="17"/>
      <c r="I116" s="17"/>
      <c r="J116" s="17"/>
      <c r="L116" s="17" t="str">
        <f t="shared" si="4"/>
        <v/>
      </c>
      <c r="M116" s="17"/>
    </row>
    <row r="117" spans="1:13" hidden="1" x14ac:dyDescent="0.25">
      <c r="A117" s="17">
        <v>61</v>
      </c>
      <c r="B117" s="17" t="s">
        <v>168</v>
      </c>
      <c r="C117" s="17"/>
      <c r="D117" s="17"/>
      <c r="E117" s="17"/>
      <c r="F117" s="17"/>
      <c r="G117" s="17"/>
      <c r="I117" s="17"/>
      <c r="J117" s="17"/>
      <c r="L117" s="17" t="str">
        <f t="shared" si="4"/>
        <v/>
      </c>
      <c r="M117" s="17"/>
    </row>
    <row r="118" spans="1:13" hidden="1" x14ac:dyDescent="0.25">
      <c r="A118" s="17">
        <v>95</v>
      </c>
      <c r="B118" s="17" t="s">
        <v>176</v>
      </c>
      <c r="C118" s="17"/>
      <c r="D118" s="17"/>
      <c r="E118" s="17"/>
      <c r="F118" s="17"/>
      <c r="G118" s="17"/>
      <c r="I118" s="17"/>
      <c r="J118" s="17"/>
      <c r="L118" s="17" t="str">
        <f t="shared" si="4"/>
        <v/>
      </c>
      <c r="M118" s="17"/>
    </row>
    <row r="119" spans="1:13" hidden="1" x14ac:dyDescent="0.25">
      <c r="A119" s="17">
        <v>112</v>
      </c>
      <c r="B119" s="17" t="s">
        <v>102</v>
      </c>
      <c r="C119" s="17"/>
      <c r="D119" s="17"/>
      <c r="E119" s="17"/>
      <c r="F119" s="17"/>
      <c r="G119" s="17"/>
      <c r="I119" s="17"/>
      <c r="J119" s="17"/>
      <c r="L119" s="17" t="str">
        <f t="shared" si="4"/>
        <v/>
      </c>
      <c r="M119" s="17"/>
    </row>
    <row r="120" spans="1:13" hidden="1" x14ac:dyDescent="0.25">
      <c r="A120" s="17">
        <v>116</v>
      </c>
      <c r="B120" s="17" t="s">
        <v>180</v>
      </c>
      <c r="C120" s="17"/>
      <c r="D120" s="17"/>
      <c r="E120" s="17"/>
      <c r="F120" s="17"/>
      <c r="G120" s="17"/>
      <c r="I120" s="17"/>
      <c r="J120" s="17"/>
      <c r="L120" s="17" t="str">
        <f t="shared" si="4"/>
        <v/>
      </c>
      <c r="M120" s="17"/>
    </row>
    <row r="121" spans="1:13" hidden="1" x14ac:dyDescent="0.25">
      <c r="A121">
        <v>120</v>
      </c>
      <c r="B121" t="s">
        <v>97</v>
      </c>
      <c r="L121" t="str">
        <f t="shared" si="4"/>
        <v/>
      </c>
    </row>
    <row r="122" spans="1:13" hidden="1" x14ac:dyDescent="0.25">
      <c r="L122" t="str">
        <f t="shared" si="4"/>
        <v/>
      </c>
    </row>
    <row r="123" spans="1:13" hidden="1" x14ac:dyDescent="0.25">
      <c r="L123" t="str">
        <f t="shared" si="4"/>
        <v/>
      </c>
    </row>
    <row r="124" spans="1:13" hidden="1" x14ac:dyDescent="0.25">
      <c r="L124" t="str">
        <f t="shared" si="4"/>
        <v/>
      </c>
    </row>
    <row r="125" spans="1:13" hidden="1" x14ac:dyDescent="0.25">
      <c r="L125" t="str">
        <f t="shared" si="4"/>
        <v/>
      </c>
    </row>
    <row r="126" spans="1:13" hidden="1" x14ac:dyDescent="0.25">
      <c r="L126" t="str">
        <f t="shared" si="4"/>
        <v/>
      </c>
    </row>
    <row r="127" spans="1:13" hidden="1" x14ac:dyDescent="0.25">
      <c r="L127" t="str">
        <f t="shared" si="4"/>
        <v/>
      </c>
    </row>
    <row r="128" spans="1:13" hidden="1" x14ac:dyDescent="0.25">
      <c r="A128" s="1"/>
      <c r="B128" s="1"/>
      <c r="C128" s="1"/>
      <c r="D128" s="1"/>
      <c r="E128" s="1"/>
      <c r="F128" s="1"/>
      <c r="G128" s="1"/>
      <c r="I128" s="1"/>
      <c r="J128" s="1"/>
      <c r="L128" s="1"/>
      <c r="M128" s="1"/>
    </row>
    <row r="129" spans="1:13" hidden="1" x14ac:dyDescent="0.25">
      <c r="A129" s="1"/>
      <c r="B129" s="1"/>
      <c r="C129" s="1"/>
      <c r="D129" s="1"/>
      <c r="E129" s="1"/>
      <c r="F129" s="1"/>
      <c r="G129" s="1"/>
      <c r="I129" s="1"/>
      <c r="J129" s="1"/>
      <c r="L129" s="1"/>
      <c r="M129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'Dropdown sheet - DO NOT EDIT'!$D$2:$D$6</xm:f>
          </x14:formula1>
          <xm:sqref>M2:M120</xm:sqref>
        </x14:dataValidation>
        <x14:dataValidation type="list" allowBlank="1" showInputMessage="1" showErrorMessage="1" xr:uid="{00000000-0002-0000-0700-000001000000}">
          <x14:formula1>
            <xm:f>'Dropdown sheet - DO NOT EDIT'!$A$2:$A$4</xm:f>
          </x14:formula1>
          <xm:sqref>J2:J120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D308-C9CE-4D1C-8068-CC240B342F8E}">
  <dimension ref="A1:N114"/>
  <sheetViews>
    <sheetView tabSelected="1" workbookViewId="0">
      <selection activeCell="N3" sqref="N3"/>
    </sheetView>
  </sheetViews>
  <sheetFormatPr defaultRowHeight="15" x14ac:dyDescent="0.25"/>
  <cols>
    <col min="1" max="1" width="13.7109375" customWidth="1"/>
    <col min="2" max="2" width="36.5703125" bestFit="1" customWidth="1"/>
    <col min="3" max="5" width="10.5703125" customWidth="1"/>
    <col min="6" max="6" width="17.85546875" customWidth="1"/>
    <col min="7" max="7" width="17" customWidth="1"/>
    <col min="10" max="10" width="22.42578125" customWidth="1"/>
    <col min="11" max="11" width="17.85546875" customWidth="1"/>
    <col min="12" max="12" width="13.28515625" customWidth="1"/>
  </cols>
  <sheetData>
    <row r="1" spans="1:14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11</v>
      </c>
      <c r="G1" t="s">
        <v>20</v>
      </c>
      <c r="H1" t="s">
        <v>21</v>
      </c>
      <c r="I1" t="s">
        <v>19</v>
      </c>
      <c r="J1" t="s">
        <v>15</v>
      </c>
      <c r="K1" t="s">
        <v>16</v>
      </c>
      <c r="L1" t="s">
        <v>128</v>
      </c>
      <c r="M1" t="s">
        <v>222</v>
      </c>
      <c r="N1" t="s">
        <v>223</v>
      </c>
    </row>
    <row r="2" spans="1:14" x14ac:dyDescent="0.25">
      <c r="A2">
        <v>1</v>
      </c>
      <c r="B2" t="s">
        <v>22</v>
      </c>
      <c r="C2">
        <f>IF('Scales Input Table'!T2&gt;0,'Scales Input Table'!T2,"")</f>
        <v>173.72573600000001</v>
      </c>
      <c r="D2" s="7">
        <f>'Scales Input Table'!V2</f>
        <v>0.50358422939068104</v>
      </c>
      <c r="E2" s="7">
        <f>'Scales Input Table'!X2</f>
        <v>0.49820788530465948</v>
      </c>
      <c r="F2">
        <f>IF('Scales Input Table'!M2&gt;0,'Scales Input Table'!M2,"")</f>
        <v>4</v>
      </c>
      <c r="G2">
        <f>IF('Scales Input Table'!N2&gt;0,'Scales Input Table'!N2,"")</f>
        <v>599</v>
      </c>
      <c r="H2" t="str">
        <f>IF('Scales Input Table'!O2&gt;0,'Scales Input Table'!O2,"")</f>
        <v>No</v>
      </c>
      <c r="I2" t="str">
        <f>IF('Scales Input Table'!P2&gt;0,'Scales Input Table'!P2,"")</f>
        <v>Hybrid</v>
      </c>
      <c r="J2" t="str">
        <f>IF('Scales Input Table'!Q2&gt;0,'Scales Input Table'!Q2,"")</f>
        <v>Full Package</v>
      </c>
      <c r="K2" t="str">
        <f>IF('Scales Input Table'!R2&gt;0,'Scales Input Table'!R2,"")</f>
        <v>10"</v>
      </c>
      <c r="L2">
        <f>IF('Scales Input Table'!S2&gt;0,'Scales Input Table'!S2,"")</f>
        <v>64.173228346456696</v>
      </c>
      <c r="M2" s="25" t="str">
        <f>_xlfn.XLOOKUP(Table2[[#This Row],[Car Number]],'Design Schedule'!$C$2:$C$121,'Design Schedule'!$B$2:$B$121)</f>
        <v>H</v>
      </c>
      <c r="N2" s="25" t="str">
        <f>_xlfn.XLOOKUP(Table2[[#This Row],[Car Number]],'Design Schedule'!$C$2:$C$121,'Design Schedule'!$A$2:$A$121)</f>
        <v>8:30AM</v>
      </c>
    </row>
    <row r="3" spans="1:14" x14ac:dyDescent="0.25">
      <c r="A3">
        <v>2</v>
      </c>
      <c r="B3" t="s">
        <v>24</v>
      </c>
      <c r="C3">
        <f>IF('Scales Input Table'!T3&gt;0,'Scales Input Table'!T3,"")</f>
        <v>155.12846400000001</v>
      </c>
      <c r="D3" s="7">
        <f>'Scales Input Table'!V3</f>
        <v>0.45401174168297453</v>
      </c>
      <c r="E3" s="7">
        <f>'Scales Input Table'!X3</f>
        <v>0.49706457925636005</v>
      </c>
      <c r="F3">
        <f>IF('Scales Input Table'!M3&gt;0,'Scales Input Table'!M3,"")</f>
        <v>1</v>
      </c>
      <c r="G3">
        <f>IF('Scales Input Table'!N3&gt;0,'Scales Input Table'!N3,"")</f>
        <v>510</v>
      </c>
      <c r="H3" t="str">
        <f>IF('Scales Input Table'!O3&gt;0,'Scales Input Table'!O3,"")</f>
        <v>No</v>
      </c>
      <c r="I3" t="str">
        <f>IF('Scales Input Table'!P3&gt;0,'Scales Input Table'!P3,"")</f>
        <v>Monocoque</v>
      </c>
      <c r="J3" t="str">
        <f>IF('Scales Input Table'!Q3&gt;0,'Scales Input Table'!Q3,"")</f>
        <v>Full Package</v>
      </c>
      <c r="K3" t="str">
        <f>IF('Scales Input Table'!R3&gt;0,'Scales Input Table'!R3,"")</f>
        <v>10"</v>
      </c>
      <c r="L3">
        <f>IF('Scales Input Table'!S3&gt;0,'Scales Input Table'!S3,"")</f>
        <v>61.023622047244096</v>
      </c>
      <c r="M3" s="25" t="str">
        <f>_xlfn.XLOOKUP(Table2[[#This Row],[Car Number]],'Design Schedule'!$C$2:$C$121,'Design Schedule'!$B$2:$B$121)</f>
        <v>B</v>
      </c>
      <c r="N3" s="25" t="str">
        <f>_xlfn.XLOOKUP(Table2[[#This Row],[Car Number]],'Design Schedule'!$C$2:$C$121,'Design Schedule'!$A$2:$A$121)</f>
        <v>9:30AM</v>
      </c>
    </row>
    <row r="4" spans="1:14" x14ac:dyDescent="0.25">
      <c r="A4">
        <v>5</v>
      </c>
      <c r="B4" t="s">
        <v>33</v>
      </c>
      <c r="C4">
        <f>IF('Scales Input Table'!T4&gt;0,'Scales Input Table'!T4,"")</f>
        <v>147.41739999999999</v>
      </c>
      <c r="D4" s="7">
        <f>'Scales Input Table'!V4</f>
        <v>0.46610169491525422</v>
      </c>
      <c r="E4" s="7">
        <f>'Scales Input Table'!X4</f>
        <v>0.5</v>
      </c>
      <c r="F4">
        <f>IF('Scales Input Table'!M4&gt;0,'Scales Input Table'!M4,"")</f>
        <v>1</v>
      </c>
      <c r="G4">
        <f>IF('Scales Input Table'!N4&gt;0,'Scales Input Table'!N4,"")</f>
        <v>449</v>
      </c>
      <c r="H4" t="str">
        <f>IF('Scales Input Table'!O4&gt;0,'Scales Input Table'!O4,"")</f>
        <v>Yes, No Cooler</v>
      </c>
      <c r="I4" t="str">
        <f>IF('Scales Input Table'!P4&gt;0,'Scales Input Table'!P4,"")</f>
        <v>Monocoque</v>
      </c>
      <c r="J4" t="str">
        <f>IF('Scales Input Table'!Q4&gt;0,'Scales Input Table'!Q4,"")</f>
        <v>Wings Only</v>
      </c>
      <c r="K4" t="str">
        <f>IF('Scales Input Table'!R4&gt;0,'Scales Input Table'!R4,"")</f>
        <v>10"</v>
      </c>
      <c r="L4">
        <f>IF('Scales Input Table'!S4&gt;0,'Scales Input Table'!S4,"")</f>
        <v>60.25</v>
      </c>
      <c r="M4" s="25" t="str">
        <f>_xlfn.XLOOKUP(Table2[[#This Row],[Car Number]],'Design Schedule'!$C$2:$C$121,'Design Schedule'!$B$2:$B$121)</f>
        <v>D</v>
      </c>
      <c r="N4" s="25" t="str">
        <f>_xlfn.XLOOKUP(Table2[[#This Row],[Car Number]],'Design Schedule'!$C$2:$C$121,'Design Schedule'!$A$2:$A$121)</f>
        <v>8:30AM</v>
      </c>
    </row>
    <row r="5" spans="1:14" x14ac:dyDescent="0.25">
      <c r="A5">
        <v>6</v>
      </c>
      <c r="B5" t="s">
        <v>73</v>
      </c>
      <c r="C5">
        <f>IF('Scales Input Table'!T5&gt;0,'Scales Input Table'!T5,"")</f>
        <v>169.18981600000001</v>
      </c>
      <c r="D5" s="7">
        <f>'Scales Input Table'!V5</f>
        <v>0.52972972972972976</v>
      </c>
      <c r="E5" s="7">
        <f>'Scales Input Table'!X5</f>
        <v>0.4936936936936937</v>
      </c>
      <c r="F5">
        <f>IF('Scales Input Table'!M5&gt;0,'Scales Input Table'!M5,"")</f>
        <v>1</v>
      </c>
      <c r="G5">
        <f>IF('Scales Input Table'!N5&gt;0,'Scales Input Table'!N5,"")</f>
        <v>450</v>
      </c>
      <c r="H5" t="str">
        <f>IF('Scales Input Table'!O5&gt;0,'Scales Input Table'!O5,"")</f>
        <v>No</v>
      </c>
      <c r="I5" t="str">
        <f>IF('Scales Input Table'!P5&gt;0,'Scales Input Table'!P5,"")</f>
        <v>Hybrid</v>
      </c>
      <c r="J5" t="str">
        <f>IF('Scales Input Table'!Q5&gt;0,'Scales Input Table'!Q5,"")</f>
        <v>Full Package</v>
      </c>
      <c r="K5" t="str">
        <f>IF('Scales Input Table'!R5&gt;0,'Scales Input Table'!R5,"")</f>
        <v>13"</v>
      </c>
      <c r="L5">
        <f>IF('Scales Input Table'!S5&gt;0,'Scales Input Table'!S5,"")</f>
        <v>60.2</v>
      </c>
      <c r="M5" s="25" t="str">
        <f>_xlfn.XLOOKUP(Table2[[#This Row],[Car Number]],'Design Schedule'!$C$2:$C$121,'Design Schedule'!$B$2:$B$121)</f>
        <v>L</v>
      </c>
      <c r="N5" s="25" t="str">
        <f>_xlfn.XLOOKUP(Table2[[#This Row],[Car Number]],'Design Schedule'!$C$2:$C$121,'Design Schedule'!$A$2:$A$121)</f>
        <v>8:30AM</v>
      </c>
    </row>
    <row r="6" spans="1:14" x14ac:dyDescent="0.25">
      <c r="A6">
        <v>7</v>
      </c>
      <c r="B6" t="s">
        <v>58</v>
      </c>
      <c r="C6">
        <f>IF('Scales Input Table'!T6&gt;0,'Scales Input Table'!T6,"")</f>
        <v>162.38593599999999</v>
      </c>
      <c r="D6" s="7">
        <f>'Scales Input Table'!V6</f>
        <v>0.49034749034749037</v>
      </c>
      <c r="E6" s="7">
        <f>'Scales Input Table'!X6</f>
        <v>0.49420849420849422</v>
      </c>
      <c r="F6">
        <f>IF('Scales Input Table'!M6&gt;0,'Scales Input Table'!M6,"")</f>
        <v>1</v>
      </c>
      <c r="G6">
        <f>IF('Scales Input Table'!N6&gt;0,'Scales Input Table'!N6,"")</f>
        <v>450</v>
      </c>
      <c r="H6" t="str">
        <f>IF('Scales Input Table'!O6&gt;0,'Scales Input Table'!O6,"")</f>
        <v>No</v>
      </c>
      <c r="I6" t="str">
        <f>IF('Scales Input Table'!P6&gt;0,'Scales Input Table'!P6,"")</f>
        <v>Tube Frame</v>
      </c>
      <c r="J6" t="str">
        <f>IF('Scales Input Table'!Q6&gt;0,'Scales Input Table'!Q6,"")</f>
        <v>Full Package</v>
      </c>
      <c r="K6" t="str">
        <f>IF('Scales Input Table'!R6&gt;0,'Scales Input Table'!R6,"")</f>
        <v>10"</v>
      </c>
      <c r="L6">
        <f>IF('Scales Input Table'!S6&gt;0,'Scales Input Table'!S6,"")</f>
        <v>61</v>
      </c>
      <c r="M6" s="25" t="str">
        <f>_xlfn.XLOOKUP(Table2[[#This Row],[Car Number]],'Design Schedule'!$C$2:$C$121,'Design Schedule'!$B$2:$B$121)</f>
        <v>I</v>
      </c>
      <c r="N6" s="25" t="str">
        <f>_xlfn.XLOOKUP(Table2[[#This Row],[Car Number]],'Design Schedule'!$C$2:$C$121,'Design Schedule'!$A$2:$A$121)</f>
        <v>1:30PM</v>
      </c>
    </row>
    <row r="7" spans="1:14" x14ac:dyDescent="0.25">
      <c r="A7">
        <v>8</v>
      </c>
      <c r="B7" t="s">
        <v>29</v>
      </c>
      <c r="C7">
        <f>IF('Scales Input Table'!T7&gt;0,'Scales Input Table'!T7,"")</f>
        <v>164.653896</v>
      </c>
      <c r="D7" s="7">
        <f>'Scales Input Table'!V7</f>
        <v>0.46422018348623856</v>
      </c>
      <c r="E7" s="7">
        <f>'Scales Input Table'!X7</f>
        <v>0.50458715596330272</v>
      </c>
      <c r="F7">
        <f>IF('Scales Input Table'!M7&gt;0,'Scales Input Table'!M7,"")</f>
        <v>1</v>
      </c>
      <c r="G7">
        <f>IF('Scales Input Table'!N7&gt;0,'Scales Input Table'!N7,"")</f>
        <v>449</v>
      </c>
      <c r="H7" t="str">
        <f>IF('Scales Input Table'!O7&gt;0,'Scales Input Table'!O7,"")</f>
        <v>Yes, No Cooler</v>
      </c>
      <c r="I7" t="str">
        <f>IF('Scales Input Table'!P7&gt;0,'Scales Input Table'!P7,"")</f>
        <v>Hybrid</v>
      </c>
      <c r="J7" t="str">
        <f>IF('Scales Input Table'!Q7&gt;0,'Scales Input Table'!Q7,"")</f>
        <v>Wings Only</v>
      </c>
      <c r="K7" t="str">
        <f>IF('Scales Input Table'!R7&gt;0,'Scales Input Table'!R7,"")</f>
        <v>10"</v>
      </c>
      <c r="L7">
        <f>IF('Scales Input Table'!S7&gt;0,'Scales Input Table'!S7,"")</f>
        <v>63</v>
      </c>
      <c r="M7" s="25" t="str">
        <f>_xlfn.XLOOKUP(Table2[[#This Row],[Car Number]],'Design Schedule'!$C$2:$C$121,'Design Schedule'!$B$2:$B$121)</f>
        <v>J</v>
      </c>
      <c r="N7" s="25" t="str">
        <f>_xlfn.XLOOKUP(Table2[[#This Row],[Car Number]],'Design Schedule'!$C$2:$C$121,'Design Schedule'!$A$2:$A$121)</f>
        <v>8:30AM</v>
      </c>
    </row>
    <row r="8" spans="1:14" x14ac:dyDescent="0.25">
      <c r="A8">
        <v>9</v>
      </c>
      <c r="B8" t="s">
        <v>25</v>
      </c>
      <c r="C8">
        <f>IF('Scales Input Table'!T8&gt;0,'Scales Input Table'!T8,"")</f>
        <v>196.40533600000001</v>
      </c>
      <c r="D8" s="7">
        <f>'Scales Input Table'!V8</f>
        <v>0.46753246753246752</v>
      </c>
      <c r="E8" s="7">
        <f>'Scales Input Table'!X8</f>
        <v>0.49512987012987014</v>
      </c>
      <c r="F8">
        <f>IF('Scales Input Table'!M8&gt;0,'Scales Input Table'!M8,"")</f>
        <v>4</v>
      </c>
      <c r="G8">
        <f>IF('Scales Input Table'!N8&gt;0,'Scales Input Table'!N8,"")</f>
        <v>599</v>
      </c>
      <c r="H8" t="str">
        <f>IF('Scales Input Table'!O8&gt;0,'Scales Input Table'!O8,"")</f>
        <v>Yes, No Cooler</v>
      </c>
      <c r="I8" t="str">
        <f>IF('Scales Input Table'!P8&gt;0,'Scales Input Table'!P8,"")</f>
        <v>Hybrid</v>
      </c>
      <c r="J8" t="str">
        <f>IF('Scales Input Table'!Q8&gt;0,'Scales Input Table'!Q8,"")</f>
        <v>Full Package</v>
      </c>
      <c r="K8" t="str">
        <f>IF('Scales Input Table'!R8&gt;0,'Scales Input Table'!R8,"")</f>
        <v>10"</v>
      </c>
      <c r="L8">
        <f>IF('Scales Input Table'!S8&gt;0,'Scales Input Table'!S8,"")</f>
        <v>61</v>
      </c>
      <c r="M8" s="25" t="str">
        <f>_xlfn.XLOOKUP(Table2[[#This Row],[Car Number]],'Design Schedule'!$C$2:$C$121,'Design Schedule'!$B$2:$B$121)</f>
        <v>I</v>
      </c>
      <c r="N8" s="25" t="str">
        <f>_xlfn.XLOOKUP(Table2[[#This Row],[Car Number]],'Design Schedule'!$C$2:$C$121,'Design Schedule'!$A$2:$A$121)</f>
        <v>9:30AM</v>
      </c>
    </row>
    <row r="9" spans="1:14" x14ac:dyDescent="0.25">
      <c r="A9">
        <v>10</v>
      </c>
      <c r="B9" t="s">
        <v>96</v>
      </c>
      <c r="C9">
        <f>IF('Scales Input Table'!T9&gt;0,'Scales Input Table'!T9,"")</f>
        <v>193.683784</v>
      </c>
      <c r="D9" s="7">
        <f>'Scales Input Table'!V9</f>
        <v>0.44368600682593856</v>
      </c>
      <c r="E9" s="7">
        <f>'Scales Input Table'!X9</f>
        <v>0.5</v>
      </c>
      <c r="F9">
        <f>IF('Scales Input Table'!M9&gt;0,'Scales Input Table'!M9,"")</f>
        <v>4</v>
      </c>
      <c r="G9">
        <f>IF('Scales Input Table'!N9&gt;0,'Scales Input Table'!N9,"")</f>
        <v>599</v>
      </c>
      <c r="H9" t="str">
        <f>IF('Scales Input Table'!O9&gt;0,'Scales Input Table'!O9,"")</f>
        <v>No</v>
      </c>
      <c r="I9" t="str">
        <f>IF('Scales Input Table'!P9&gt;0,'Scales Input Table'!P9,"")</f>
        <v>Tube Frame</v>
      </c>
      <c r="J9" t="str">
        <f>IF('Scales Input Table'!Q9&gt;0,'Scales Input Table'!Q9,"")</f>
        <v>Wings Only</v>
      </c>
      <c r="K9" t="str">
        <f>IF('Scales Input Table'!R9&gt;0,'Scales Input Table'!R9,"")</f>
        <v>10"</v>
      </c>
      <c r="L9">
        <f>IF('Scales Input Table'!S9&gt;0,'Scales Input Table'!S9,"")</f>
        <v>61.417322834645674</v>
      </c>
      <c r="M9" s="25" t="str">
        <f>_xlfn.XLOOKUP(Table2[[#This Row],[Car Number]],'Design Schedule'!$C$2:$C$121,'Design Schedule'!$B$2:$B$121)</f>
        <v>C</v>
      </c>
      <c r="N9" s="25" t="str">
        <f>_xlfn.XLOOKUP(Table2[[#This Row],[Car Number]],'Design Schedule'!$C$2:$C$121,'Design Schedule'!$A$2:$A$121)</f>
        <v>10:30AM</v>
      </c>
    </row>
    <row r="10" spans="1:14" x14ac:dyDescent="0.25">
      <c r="A10">
        <v>11</v>
      </c>
      <c r="B10" t="s">
        <v>31</v>
      </c>
      <c r="C10">
        <f>IF('Scales Input Table'!T10&gt;0,'Scales Input Table'!T10,"")</f>
        <v>193.683784</v>
      </c>
      <c r="D10" s="7">
        <f>'Scales Input Table'!V10</f>
        <v>0.5008347245409015</v>
      </c>
      <c r="E10" s="7">
        <f>'Scales Input Table'!X10</f>
        <v>0.5025041736227045</v>
      </c>
      <c r="F10">
        <f>IF('Scales Input Table'!M10&gt;0,'Scales Input Table'!M10,"")</f>
        <v>4</v>
      </c>
      <c r="G10">
        <f>IF('Scales Input Table'!N10&gt;0,'Scales Input Table'!N10,"")</f>
        <v>599</v>
      </c>
      <c r="H10" t="str">
        <f>IF('Scales Input Table'!O10&gt;0,'Scales Input Table'!O10,"")</f>
        <v>No</v>
      </c>
      <c r="I10" t="str">
        <f>IF('Scales Input Table'!P10&gt;0,'Scales Input Table'!P10,"")</f>
        <v>Hybrid</v>
      </c>
      <c r="J10" t="str">
        <f>IF('Scales Input Table'!Q10&gt;0,'Scales Input Table'!Q10,"")</f>
        <v>Full Package</v>
      </c>
      <c r="K10" t="str">
        <f>IF('Scales Input Table'!R10&gt;0,'Scales Input Table'!R10,"")</f>
        <v>10"</v>
      </c>
      <c r="L10">
        <f>IF('Scales Input Table'!S10&gt;0,'Scales Input Table'!S10,"")</f>
        <v>60.5</v>
      </c>
      <c r="M10" s="25" t="str">
        <f>_xlfn.XLOOKUP(Table2[[#This Row],[Car Number]],'Design Schedule'!$C$2:$C$121,'Design Schedule'!$B$2:$B$121)</f>
        <v>F</v>
      </c>
      <c r="N10" s="25" t="str">
        <f>_xlfn.XLOOKUP(Table2[[#This Row],[Car Number]],'Design Schedule'!$C$2:$C$121,'Design Schedule'!$A$2:$A$121)</f>
        <v>9:30AM</v>
      </c>
    </row>
    <row r="11" spans="1:14" x14ac:dyDescent="0.25">
      <c r="A11">
        <v>12</v>
      </c>
      <c r="B11" t="s">
        <v>89</v>
      </c>
      <c r="C11">
        <f>IF('Scales Input Table'!T11&gt;0,'Scales Input Table'!T11,"")</f>
        <v>206.38435999999999</v>
      </c>
      <c r="D11" s="7">
        <f>'Scales Input Table'!V11</f>
        <v>0.5</v>
      </c>
      <c r="E11" s="7">
        <f>'Scales Input Table'!X11</f>
        <v>0.50326797385620914</v>
      </c>
      <c r="F11">
        <f>IF('Scales Input Table'!M11&gt;0,'Scales Input Table'!M11,"")</f>
        <v>4</v>
      </c>
      <c r="G11">
        <f>IF('Scales Input Table'!N11&gt;0,'Scales Input Table'!N11,"")</f>
        <v>599</v>
      </c>
      <c r="H11" t="str">
        <f>IF('Scales Input Table'!O11&gt;0,'Scales Input Table'!O11,"")</f>
        <v>No</v>
      </c>
      <c r="I11" t="str">
        <f>IF('Scales Input Table'!P11&gt;0,'Scales Input Table'!P11,"")</f>
        <v>Tube Frame</v>
      </c>
      <c r="J11" t="str">
        <f>IF('Scales Input Table'!Q11&gt;0,'Scales Input Table'!Q11,"")</f>
        <v>Full Package</v>
      </c>
      <c r="K11" t="str">
        <f>IF('Scales Input Table'!R11&gt;0,'Scales Input Table'!R11,"")</f>
        <v>10"</v>
      </c>
      <c r="L11">
        <f>IF('Scales Input Table'!S11&gt;0,'Scales Input Table'!S11,"")</f>
        <v>61</v>
      </c>
      <c r="M11" s="25" t="str">
        <f>_xlfn.XLOOKUP(Table2[[#This Row],[Car Number]],'Design Schedule'!$C$2:$C$121,'Design Schedule'!$B$2:$B$121)</f>
        <v>O</v>
      </c>
      <c r="N11" s="25" t="str">
        <f>_xlfn.XLOOKUP(Table2[[#This Row],[Car Number]],'Design Schedule'!$C$2:$C$121,'Design Schedule'!$A$2:$A$121)</f>
        <v>10:30AM</v>
      </c>
    </row>
    <row r="12" spans="1:14" x14ac:dyDescent="0.25">
      <c r="A12">
        <v>14</v>
      </c>
      <c r="B12" t="s">
        <v>159</v>
      </c>
      <c r="C12">
        <f>IF('Scales Input Table'!T12&gt;0,'Scales Input Table'!T12,"")</f>
        <v>185.97272000000001</v>
      </c>
      <c r="D12" s="7">
        <f>'Scales Input Table'!V12</f>
        <v>0.50570962479608483</v>
      </c>
      <c r="E12" s="7">
        <f>'Scales Input Table'!X12</f>
        <v>0.49918433931484502</v>
      </c>
      <c r="F12">
        <f>IF('Scales Input Table'!M12&gt;0,'Scales Input Table'!M12,"")</f>
        <v>1</v>
      </c>
      <c r="G12">
        <f>IF('Scales Input Table'!N12&gt;0,'Scales Input Table'!N12,"")</f>
        <v>449</v>
      </c>
      <c r="H12" t="str">
        <f>IF('Scales Input Table'!O12&gt;0,'Scales Input Table'!O12,"")</f>
        <v>No</v>
      </c>
      <c r="I12" t="str">
        <f>IF('Scales Input Table'!P12&gt;0,'Scales Input Table'!P12,"")</f>
        <v>Tube Frame</v>
      </c>
      <c r="J12" t="str">
        <f>IF('Scales Input Table'!Q12&gt;0,'Scales Input Table'!Q12,"")</f>
        <v>Wings Only</v>
      </c>
      <c r="K12" t="str">
        <f>IF('Scales Input Table'!R12&gt;0,'Scales Input Table'!R12,"")</f>
        <v>10"</v>
      </c>
      <c r="L12">
        <f>IF('Scales Input Table'!S12&gt;0,'Scales Input Table'!S12,"")</f>
        <v>62.165354330708666</v>
      </c>
      <c r="M12" s="25" t="str">
        <f>_xlfn.XLOOKUP(Table2[[#This Row],[Car Number]],'Design Schedule'!$C$2:$C$121,'Design Schedule'!$B$2:$B$121)</f>
        <v>G</v>
      </c>
      <c r="N12" s="25" t="str">
        <f>_xlfn.XLOOKUP(Table2[[#This Row],[Car Number]],'Design Schedule'!$C$2:$C$121,'Design Schedule'!$A$2:$A$121)</f>
        <v>9:30AM</v>
      </c>
    </row>
    <row r="13" spans="1:14" x14ac:dyDescent="0.25">
      <c r="A13">
        <v>16</v>
      </c>
      <c r="B13" t="s">
        <v>65</v>
      </c>
      <c r="C13">
        <f>IF('Scales Input Table'!T13&gt;0,'Scales Input Table'!T13,"")</f>
        <v>210.01309599999999</v>
      </c>
      <c r="D13" s="7">
        <f>'Scales Input Table'!V13</f>
        <v>0.48135593220338985</v>
      </c>
      <c r="E13" s="7">
        <f>'Scales Input Table'!X13</f>
        <v>0.49661016949152542</v>
      </c>
      <c r="F13">
        <f>IF('Scales Input Table'!M13&gt;0,'Scales Input Table'!M13,"")</f>
        <v>4</v>
      </c>
      <c r="G13">
        <f>IF('Scales Input Table'!N13&gt;0,'Scales Input Table'!N13,"")</f>
        <v>600</v>
      </c>
      <c r="H13" t="str">
        <f>IF('Scales Input Table'!O13&gt;0,'Scales Input Table'!O13,"")</f>
        <v>No</v>
      </c>
      <c r="I13" t="str">
        <f>IF('Scales Input Table'!P13&gt;0,'Scales Input Table'!P13,"")</f>
        <v>Hybrid</v>
      </c>
      <c r="J13" t="str">
        <f>IF('Scales Input Table'!Q13&gt;0,'Scales Input Table'!Q13,"")</f>
        <v>Full Package</v>
      </c>
      <c r="K13" t="str">
        <f>IF('Scales Input Table'!R13&gt;0,'Scales Input Table'!R13,"")</f>
        <v>10"</v>
      </c>
      <c r="L13">
        <f>IF('Scales Input Table'!S13&gt;0,'Scales Input Table'!S13,"")</f>
        <v>60.236220472440948</v>
      </c>
      <c r="M13" s="25" t="str">
        <f>_xlfn.XLOOKUP(Table2[[#This Row],[Car Number]],'Design Schedule'!$C$2:$C$121,'Design Schedule'!$B$2:$B$121)</f>
        <v>E</v>
      </c>
      <c r="N13" s="25" t="str">
        <f>_xlfn.XLOOKUP(Table2[[#This Row],[Car Number]],'Design Schedule'!$C$2:$C$121,'Design Schedule'!$A$2:$A$121)</f>
        <v>9:30AM</v>
      </c>
    </row>
    <row r="14" spans="1:14" x14ac:dyDescent="0.25">
      <c r="A14">
        <v>17</v>
      </c>
      <c r="B14" t="s">
        <v>87</v>
      </c>
      <c r="C14">
        <f>IF('Scales Input Table'!T14&gt;0,'Scales Input Table'!T14,"")</f>
        <v>231.78551200000001</v>
      </c>
      <c r="D14" s="7">
        <f>'Scales Input Table'!V14</f>
        <v>0.50593471810089019</v>
      </c>
      <c r="E14" s="7">
        <f>'Scales Input Table'!X14</f>
        <v>0.51186943620178038</v>
      </c>
      <c r="F14">
        <f>IF('Scales Input Table'!M14&gt;0,'Scales Input Table'!M14,"")</f>
        <v>2</v>
      </c>
      <c r="G14">
        <f>IF('Scales Input Table'!N14&gt;0,'Scales Input Table'!N14,"")</f>
        <v>479</v>
      </c>
      <c r="H14" t="str">
        <f>IF('Scales Input Table'!O14&gt;0,'Scales Input Table'!O14,"")</f>
        <v>No</v>
      </c>
      <c r="I14" t="str">
        <f>IF('Scales Input Table'!P14&gt;0,'Scales Input Table'!P14,"")</f>
        <v>Tube Frame</v>
      </c>
      <c r="J14" t="str">
        <f>IF('Scales Input Table'!Q14&gt;0,'Scales Input Table'!Q14,"")</f>
        <v>None</v>
      </c>
      <c r="K14" t="str">
        <f>IF('Scales Input Table'!R14&gt;0,'Scales Input Table'!R14,"")</f>
        <v>13"</v>
      </c>
      <c r="L14">
        <f>IF('Scales Input Table'!S14&gt;0,'Scales Input Table'!S14,"")</f>
        <v>63</v>
      </c>
      <c r="M14" s="25" t="str">
        <f>_xlfn.XLOOKUP(Table2[[#This Row],[Car Number]],'Design Schedule'!$C$2:$C$121,'Design Schedule'!$B$2:$B$121)</f>
        <v>L</v>
      </c>
      <c r="N14" s="25" t="str">
        <f>_xlfn.XLOOKUP(Table2[[#This Row],[Car Number]],'Design Schedule'!$C$2:$C$121,'Design Schedule'!$A$2:$A$121)</f>
        <v>1:30PM</v>
      </c>
    </row>
    <row r="15" spans="1:14" x14ac:dyDescent="0.25">
      <c r="A15">
        <v>18</v>
      </c>
      <c r="B15" t="s">
        <v>71</v>
      </c>
      <c r="C15">
        <f>IF('Scales Input Table'!T15&gt;0,'Scales Input Table'!T15,"")</f>
        <v>201.84844000000001</v>
      </c>
      <c r="D15" s="7">
        <f>'Scales Input Table'!V15</f>
        <v>0.48371335504885993</v>
      </c>
      <c r="E15" s="7">
        <f>'Scales Input Table'!X15</f>
        <v>0.49837133550488599</v>
      </c>
      <c r="F15">
        <f>IF('Scales Input Table'!M15&gt;0,'Scales Input Table'!M15,"")</f>
        <v>4</v>
      </c>
      <c r="G15">
        <f>IF('Scales Input Table'!N15&gt;0,'Scales Input Table'!N15,"")</f>
        <v>600</v>
      </c>
      <c r="H15" t="str">
        <f>IF('Scales Input Table'!O15&gt;0,'Scales Input Table'!O15,"")</f>
        <v>No</v>
      </c>
      <c r="I15" t="str">
        <f>IF('Scales Input Table'!P15&gt;0,'Scales Input Table'!P15,"")</f>
        <v>Tube Frame</v>
      </c>
      <c r="J15" t="str">
        <f>IF('Scales Input Table'!Q15&gt;0,'Scales Input Table'!Q15,"")</f>
        <v>Wings Only</v>
      </c>
      <c r="K15" t="str">
        <f>IF('Scales Input Table'!R15&gt;0,'Scales Input Table'!R15,"")</f>
        <v>10"</v>
      </c>
      <c r="L15">
        <f>IF('Scales Input Table'!S15&gt;0,'Scales Input Table'!S15,"")</f>
        <v>62</v>
      </c>
      <c r="M15" s="25" t="str">
        <f>_xlfn.XLOOKUP(Table2[[#This Row],[Car Number]],'Design Schedule'!$C$2:$C$121,'Design Schedule'!$B$2:$B$121)</f>
        <v>K</v>
      </c>
      <c r="N15" s="25" t="str">
        <f>_xlfn.XLOOKUP(Table2[[#This Row],[Car Number]],'Design Schedule'!$C$2:$C$121,'Design Schedule'!$A$2:$A$121)</f>
        <v>3:30PM</v>
      </c>
    </row>
    <row r="16" spans="1:14" x14ac:dyDescent="0.25">
      <c r="A16">
        <v>19</v>
      </c>
      <c r="B16" t="s">
        <v>67</v>
      </c>
      <c r="C16">
        <f>IF('Scales Input Table'!T16&gt;0,'Scales Input Table'!T16,"")</f>
        <v>211.37387200000001</v>
      </c>
      <c r="D16" s="7">
        <f>'Scales Input Table'!V16</f>
        <v>0.49280000000000002</v>
      </c>
      <c r="E16" s="7">
        <f>'Scales Input Table'!X16</f>
        <v>0.49280000000000002</v>
      </c>
      <c r="F16">
        <f>IF('Scales Input Table'!M16&gt;0,'Scales Input Table'!M16,"")</f>
        <v>4</v>
      </c>
      <c r="G16">
        <f>IF('Scales Input Table'!N16&gt;0,'Scales Input Table'!N16,"")</f>
        <v>600</v>
      </c>
      <c r="H16" t="str">
        <f>IF('Scales Input Table'!O16&gt;0,'Scales Input Table'!O16,"")</f>
        <v>No</v>
      </c>
      <c r="I16" t="str">
        <f>IF('Scales Input Table'!P16&gt;0,'Scales Input Table'!P16,"")</f>
        <v>Tube Frame</v>
      </c>
      <c r="J16" t="str">
        <f>IF('Scales Input Table'!Q16&gt;0,'Scales Input Table'!Q16,"")</f>
        <v>Full Package</v>
      </c>
      <c r="K16" t="str">
        <f>IF('Scales Input Table'!R16&gt;0,'Scales Input Table'!R16,"")</f>
        <v>10"</v>
      </c>
      <c r="L16">
        <f>IF('Scales Input Table'!S16&gt;0,'Scales Input Table'!S16,"")</f>
        <v>61</v>
      </c>
      <c r="M16" s="25" t="str">
        <f>_xlfn.XLOOKUP(Table2[[#This Row],[Car Number]],'Design Schedule'!$C$2:$C$121,'Design Schedule'!$B$2:$B$121)</f>
        <v>O</v>
      </c>
      <c r="N16" s="25" t="str">
        <f>_xlfn.XLOOKUP(Table2[[#This Row],[Car Number]],'Design Schedule'!$C$2:$C$121,'Design Schedule'!$A$2:$A$121)</f>
        <v>8:30AM</v>
      </c>
    </row>
    <row r="17" spans="1:14" x14ac:dyDescent="0.25">
      <c r="A17">
        <v>20</v>
      </c>
      <c r="B17" t="s">
        <v>70</v>
      </c>
      <c r="C17">
        <f>IF('Scales Input Table'!T17&gt;0,'Scales Input Table'!T17,"")</f>
        <v>243.12531200000001</v>
      </c>
      <c r="D17" s="7">
        <f>'Scales Input Table'!V17</f>
        <v>0.48271092669432919</v>
      </c>
      <c r="E17" s="7">
        <f>'Scales Input Table'!X17</f>
        <v>0.49239280774550487</v>
      </c>
      <c r="F17">
        <f>IF('Scales Input Table'!M17&gt;0,'Scales Input Table'!M17,"")</f>
        <v>4</v>
      </c>
      <c r="G17">
        <f>IF('Scales Input Table'!N17&gt;0,'Scales Input Table'!N17,"")</f>
        <v>599</v>
      </c>
      <c r="H17" t="str">
        <f>IF('Scales Input Table'!O17&gt;0,'Scales Input Table'!O17,"")</f>
        <v>No</v>
      </c>
      <c r="I17" t="str">
        <f>IF('Scales Input Table'!P17&gt;0,'Scales Input Table'!P17,"")</f>
        <v>Tube Frame</v>
      </c>
      <c r="J17" t="str">
        <f>IF('Scales Input Table'!Q17&gt;0,'Scales Input Table'!Q17,"")</f>
        <v>Wings Only</v>
      </c>
      <c r="K17" t="str">
        <f>IF('Scales Input Table'!R17&gt;0,'Scales Input Table'!R17,"")</f>
        <v>10"</v>
      </c>
      <c r="L17">
        <f>IF('Scales Input Table'!S17&gt;0,'Scales Input Table'!S17,"")</f>
        <v>65</v>
      </c>
      <c r="M17" s="25" t="str">
        <f>_xlfn.XLOOKUP(Table2[[#This Row],[Car Number]],'Design Schedule'!$C$2:$C$121,'Design Schedule'!$B$2:$B$121)</f>
        <v>F</v>
      </c>
      <c r="N17" s="25" t="str">
        <f>_xlfn.XLOOKUP(Table2[[#This Row],[Car Number]],'Design Schedule'!$C$2:$C$121,'Design Schedule'!$A$2:$A$121)</f>
        <v>3:30PM</v>
      </c>
    </row>
    <row r="18" spans="1:14" x14ac:dyDescent="0.25">
      <c r="A18">
        <v>21</v>
      </c>
      <c r="B18" t="s">
        <v>40</v>
      </c>
      <c r="C18">
        <f>IF('Scales Input Table'!T18&gt;0,'Scales Input Table'!T18,"")</f>
        <v>215.00260800000001</v>
      </c>
      <c r="D18" s="7">
        <f>'Scales Input Table'!V18</f>
        <v>0.47393364928909953</v>
      </c>
      <c r="E18" s="7">
        <f>'Scales Input Table'!X18</f>
        <v>0.50394944707740918</v>
      </c>
      <c r="F18">
        <f>IF('Scales Input Table'!M18&gt;0,'Scales Input Table'!M18,"")</f>
        <v>4</v>
      </c>
      <c r="G18">
        <f>IF('Scales Input Table'!N18&gt;0,'Scales Input Table'!N18,"")</f>
        <v>599</v>
      </c>
      <c r="H18" t="str">
        <f>IF('Scales Input Table'!O18&gt;0,'Scales Input Table'!O18,"")</f>
        <v>No</v>
      </c>
      <c r="I18" t="str">
        <f>IF('Scales Input Table'!P18&gt;0,'Scales Input Table'!P18,"")</f>
        <v>Tube Frame</v>
      </c>
      <c r="J18" t="str">
        <f>IF('Scales Input Table'!Q18&gt;0,'Scales Input Table'!Q18,"")</f>
        <v>Full Package</v>
      </c>
      <c r="K18" t="str">
        <f>IF('Scales Input Table'!R18&gt;0,'Scales Input Table'!R18,"")</f>
        <v>13"</v>
      </c>
      <c r="L18">
        <f>IF('Scales Input Table'!S18&gt;0,'Scales Input Table'!S18,"")</f>
        <v>61</v>
      </c>
      <c r="M18" s="25" t="str">
        <f>_xlfn.XLOOKUP(Table2[[#This Row],[Car Number]],'Design Schedule'!$C$2:$C$121,'Design Schedule'!$B$2:$B$121)</f>
        <v>J</v>
      </c>
      <c r="N18" s="25" t="str">
        <f>_xlfn.XLOOKUP(Table2[[#This Row],[Car Number]],'Design Schedule'!$C$2:$C$121,'Design Schedule'!$A$2:$A$121)</f>
        <v>12:30PM</v>
      </c>
    </row>
    <row r="19" spans="1:14" x14ac:dyDescent="0.25">
      <c r="A19">
        <v>23</v>
      </c>
      <c r="B19" t="s">
        <v>36</v>
      </c>
      <c r="C19">
        <f>IF('Scales Input Table'!T19&gt;0,'Scales Input Table'!T19,"")</f>
        <v>196.40533600000001</v>
      </c>
      <c r="D19" s="7">
        <f>'Scales Input Table'!V19</f>
        <v>0.47985989492119091</v>
      </c>
      <c r="E19" s="7">
        <f>'Scales Input Table'!X19</f>
        <v>0.49387040280210159</v>
      </c>
      <c r="F19">
        <f>IF('Scales Input Table'!M19&gt;0,'Scales Input Table'!M19,"")</f>
        <v>4</v>
      </c>
      <c r="G19">
        <f>IF('Scales Input Table'!N19&gt;0,'Scales Input Table'!N19,"")</f>
        <v>599</v>
      </c>
      <c r="H19" t="str">
        <f>IF('Scales Input Table'!O19&gt;0,'Scales Input Table'!O19,"")</f>
        <v>No</v>
      </c>
      <c r="I19" t="str">
        <f>IF('Scales Input Table'!P19&gt;0,'Scales Input Table'!P19,"")</f>
        <v>Tube Frame</v>
      </c>
      <c r="J19" t="str">
        <f>IF('Scales Input Table'!Q19&gt;0,'Scales Input Table'!Q19,"")</f>
        <v>Wings Only</v>
      </c>
      <c r="K19" t="str">
        <f>IF('Scales Input Table'!R19&gt;0,'Scales Input Table'!R19,"")</f>
        <v>10"</v>
      </c>
      <c r="L19">
        <f>IF('Scales Input Table'!S19&gt;0,'Scales Input Table'!S19,"")</f>
        <v>60.5</v>
      </c>
      <c r="M19" s="25" t="str">
        <f>_xlfn.XLOOKUP(Table2[[#This Row],[Car Number]],'Design Schedule'!$C$2:$C$121,'Design Schedule'!$B$2:$B$121)</f>
        <v>L</v>
      </c>
      <c r="N19" s="25" t="str">
        <f>_xlfn.XLOOKUP(Table2[[#This Row],[Car Number]],'Design Schedule'!$C$2:$C$121,'Design Schedule'!$A$2:$A$121)</f>
        <v>9:30AM</v>
      </c>
    </row>
    <row r="20" spans="1:14" x14ac:dyDescent="0.25">
      <c r="A20">
        <v>24</v>
      </c>
      <c r="B20" t="s">
        <v>49</v>
      </c>
      <c r="C20">
        <f>IF('Scales Input Table'!T20&gt;0,'Scales Input Table'!T20,"")</f>
        <v>175.086512</v>
      </c>
      <c r="D20" s="7">
        <f>'Scales Input Table'!V20</f>
        <v>0.49814126394052044</v>
      </c>
      <c r="E20" s="7">
        <f>'Scales Input Table'!X20</f>
        <v>0.48698884758364314</v>
      </c>
      <c r="F20">
        <f>IF('Scales Input Table'!M20&gt;0,'Scales Input Table'!M20,"")</f>
        <v>1</v>
      </c>
      <c r="G20">
        <f>IF('Scales Input Table'!N20&gt;0,'Scales Input Table'!N20,"")</f>
        <v>450</v>
      </c>
      <c r="H20" t="str">
        <f>IF('Scales Input Table'!O20&gt;0,'Scales Input Table'!O20,"")</f>
        <v>No</v>
      </c>
      <c r="I20" t="str">
        <f>IF('Scales Input Table'!P20&gt;0,'Scales Input Table'!P20,"")</f>
        <v>Tube Frame</v>
      </c>
      <c r="J20" t="str">
        <f>IF('Scales Input Table'!Q20&gt;0,'Scales Input Table'!Q20,"")</f>
        <v>Wings Only</v>
      </c>
      <c r="K20" t="str">
        <f>IF('Scales Input Table'!R20&gt;0,'Scales Input Table'!R20,"")</f>
        <v>10"</v>
      </c>
      <c r="L20">
        <f>IF('Scales Input Table'!S20&gt;0,'Scales Input Table'!S20,"")</f>
        <v>60</v>
      </c>
      <c r="M20" s="25" t="str">
        <f>_xlfn.XLOOKUP(Table2[[#This Row],[Car Number]],'Design Schedule'!$C$2:$C$121,'Design Schedule'!$B$2:$B$121)</f>
        <v>G</v>
      </c>
      <c r="N20" s="25" t="str">
        <f>_xlfn.XLOOKUP(Table2[[#This Row],[Car Number]],'Design Schedule'!$C$2:$C$121,'Design Schedule'!$A$2:$A$121)</f>
        <v>1:30PM</v>
      </c>
    </row>
    <row r="21" spans="1:14" x14ac:dyDescent="0.25">
      <c r="A21">
        <v>25</v>
      </c>
      <c r="B21" t="s">
        <v>160</v>
      </c>
      <c r="C21" t="str">
        <f>IF('Scales Input Table'!T21&gt;0,'Scales Input Table'!T21,"")</f>
        <v/>
      </c>
      <c r="D21" s="7" t="str">
        <f>'Scales Input Table'!V21</f>
        <v/>
      </c>
      <c r="E21" s="7" t="str">
        <f>'Scales Input Table'!X21</f>
        <v/>
      </c>
      <c r="F21" t="str">
        <f>IF('Scales Input Table'!M21&gt;0,'Scales Input Table'!M21,"")</f>
        <v/>
      </c>
      <c r="G21" t="str">
        <f>IF('Scales Input Table'!N21&gt;0,'Scales Input Table'!N21,"")</f>
        <v/>
      </c>
      <c r="H21" t="str">
        <f>IF('Scales Input Table'!O21&gt;0,'Scales Input Table'!O21,"")</f>
        <v/>
      </c>
      <c r="I21" t="str">
        <f>IF('Scales Input Table'!P21&gt;0,'Scales Input Table'!P21,"")</f>
        <v/>
      </c>
      <c r="J21" t="str">
        <f>IF('Scales Input Table'!Q21&gt;0,'Scales Input Table'!Q21,"")</f>
        <v/>
      </c>
      <c r="K21" t="str">
        <f>IF('Scales Input Table'!R21&gt;0,'Scales Input Table'!R21,"")</f>
        <v/>
      </c>
      <c r="L21" t="str">
        <f>IF('Scales Input Table'!S21&gt;0,'Scales Input Table'!S21,"")</f>
        <v/>
      </c>
      <c r="M21" s="25" t="str">
        <f>_xlfn.XLOOKUP(Table2[[#This Row],[Car Number]],'Design Schedule'!$C$2:$C$121,'Design Schedule'!$B$2:$B$121)</f>
        <v>N</v>
      </c>
      <c r="N21" s="25" t="str">
        <f>_xlfn.XLOOKUP(Table2[[#This Row],[Car Number]],'Design Schedule'!$C$2:$C$121,'Design Schedule'!$A$2:$A$121)</f>
        <v>4:30PM</v>
      </c>
    </row>
    <row r="22" spans="1:14" x14ac:dyDescent="0.25">
      <c r="A22">
        <v>26</v>
      </c>
      <c r="B22" t="s">
        <v>32</v>
      </c>
      <c r="C22">
        <f>IF('Scales Input Table'!T22&gt;0,'Scales Input Table'!T22,"")</f>
        <v>206.837952</v>
      </c>
      <c r="D22" s="7">
        <f>'Scales Input Table'!V22</f>
        <v>0.55000000000000004</v>
      </c>
      <c r="E22" s="7">
        <f>'Scales Input Table'!X22</f>
        <v>0.50161290322580643</v>
      </c>
      <c r="F22">
        <f>IF('Scales Input Table'!M22&gt;0,'Scales Input Table'!M22,"")</f>
        <v>4</v>
      </c>
      <c r="G22">
        <f>IF('Scales Input Table'!N22&gt;0,'Scales Input Table'!N22,"")</f>
        <v>599</v>
      </c>
      <c r="H22" t="str">
        <f>IF('Scales Input Table'!O22&gt;0,'Scales Input Table'!O22,"")</f>
        <v>No</v>
      </c>
      <c r="I22" t="str">
        <f>IF('Scales Input Table'!P22&gt;0,'Scales Input Table'!P22,"")</f>
        <v>Tube Frame</v>
      </c>
      <c r="J22" t="str">
        <f>IF('Scales Input Table'!Q22&gt;0,'Scales Input Table'!Q22,"")</f>
        <v>None</v>
      </c>
      <c r="K22" t="str">
        <f>IF('Scales Input Table'!R22&gt;0,'Scales Input Table'!R22,"")</f>
        <v>10"</v>
      </c>
      <c r="L22">
        <f>IF('Scales Input Table'!S22&gt;0,'Scales Input Table'!S22,"")</f>
        <v>62.519685039370081</v>
      </c>
      <c r="M22" s="25" t="str">
        <f>_xlfn.XLOOKUP(Table2[[#This Row],[Car Number]],'Design Schedule'!$C$2:$C$121,'Design Schedule'!$B$2:$B$121)</f>
        <v>A</v>
      </c>
      <c r="N22" s="25" t="str">
        <f>_xlfn.XLOOKUP(Table2[[#This Row],[Car Number]],'Design Schedule'!$C$2:$C$121,'Design Schedule'!$A$2:$A$121)</f>
        <v>1:30PM</v>
      </c>
    </row>
    <row r="23" spans="1:14" x14ac:dyDescent="0.25">
      <c r="A23">
        <v>29</v>
      </c>
      <c r="B23" t="s">
        <v>85</v>
      </c>
      <c r="C23">
        <f>IF('Scales Input Table'!T23&gt;0,'Scales Input Table'!T23,"")</f>
        <v>190.962232</v>
      </c>
      <c r="D23" s="7">
        <f>'Scales Input Table'!V23</f>
        <v>0.48936170212765956</v>
      </c>
      <c r="E23" s="7">
        <f>'Scales Input Table'!X23</f>
        <v>0.50177304964539005</v>
      </c>
      <c r="F23">
        <f>IF('Scales Input Table'!M23&gt;0,'Scales Input Table'!M23,"")</f>
        <v>1</v>
      </c>
      <c r="G23">
        <f>IF('Scales Input Table'!N23&gt;0,'Scales Input Table'!N23,"")</f>
        <v>478</v>
      </c>
      <c r="H23" t="str">
        <f>IF('Scales Input Table'!O23&gt;0,'Scales Input Table'!O23,"")</f>
        <v>No</v>
      </c>
      <c r="I23" t="str">
        <f>IF('Scales Input Table'!P23&gt;0,'Scales Input Table'!P23,"")</f>
        <v>Tube Frame</v>
      </c>
      <c r="J23" t="str">
        <f>IF('Scales Input Table'!Q23&gt;0,'Scales Input Table'!Q23,"")</f>
        <v>Wings Only</v>
      </c>
      <c r="K23" t="str">
        <f>IF('Scales Input Table'!R23&gt;0,'Scales Input Table'!R23,"")</f>
        <v>10"</v>
      </c>
      <c r="L23">
        <f>IF('Scales Input Table'!S23&gt;0,'Scales Input Table'!S23,"")</f>
        <v>61</v>
      </c>
      <c r="M23" s="25" t="str">
        <f>_xlfn.XLOOKUP(Table2[[#This Row],[Car Number]],'Design Schedule'!$C$2:$C$121,'Design Schedule'!$B$2:$B$121)</f>
        <v>I</v>
      </c>
      <c r="N23" s="25" t="str">
        <f>_xlfn.XLOOKUP(Table2[[#This Row],[Car Number]],'Design Schedule'!$C$2:$C$121,'Design Schedule'!$A$2:$A$121)</f>
        <v>2:30PM</v>
      </c>
    </row>
    <row r="24" spans="1:14" x14ac:dyDescent="0.25">
      <c r="A24">
        <v>30</v>
      </c>
      <c r="B24" t="s">
        <v>79</v>
      </c>
      <c r="C24">
        <f>IF('Scales Input Table'!T24&gt;0,'Scales Input Table'!T24,"")</f>
        <v>201.394848</v>
      </c>
      <c r="D24" s="7">
        <f>'Scales Input Table'!V24</f>
        <v>0.50245499181669395</v>
      </c>
      <c r="E24" s="7">
        <f>'Scales Input Table'!X24</f>
        <v>0.49754500818330605</v>
      </c>
      <c r="F24">
        <f>IF('Scales Input Table'!M24&gt;0,'Scales Input Table'!M24,"")</f>
        <v>1</v>
      </c>
      <c r="G24">
        <f>IF('Scales Input Table'!N24&gt;0,'Scales Input Table'!N24,"")</f>
        <v>450</v>
      </c>
      <c r="H24" t="str">
        <f>IF('Scales Input Table'!O24&gt;0,'Scales Input Table'!O24,"")</f>
        <v>Yes, Cooler</v>
      </c>
      <c r="I24" t="str">
        <f>IF('Scales Input Table'!P24&gt;0,'Scales Input Table'!P24,"")</f>
        <v>Tube Frame</v>
      </c>
      <c r="J24" t="str">
        <f>IF('Scales Input Table'!Q24&gt;0,'Scales Input Table'!Q24,"")</f>
        <v>Full Package</v>
      </c>
      <c r="K24" t="str">
        <f>IF('Scales Input Table'!R24&gt;0,'Scales Input Table'!R24,"")</f>
        <v>10"</v>
      </c>
      <c r="L24">
        <f>IF('Scales Input Table'!S24&gt;0,'Scales Input Table'!S24,"")</f>
        <v>62</v>
      </c>
      <c r="M24" s="25" t="str">
        <f>_xlfn.XLOOKUP(Table2[[#This Row],[Car Number]],'Design Schedule'!$C$2:$C$121,'Design Schedule'!$B$2:$B$121)</f>
        <v>K</v>
      </c>
      <c r="N24" s="25" t="str">
        <f>_xlfn.XLOOKUP(Table2[[#This Row],[Car Number]],'Design Schedule'!$C$2:$C$121,'Design Schedule'!$A$2:$A$121)</f>
        <v>10:30AM</v>
      </c>
    </row>
    <row r="25" spans="1:14" x14ac:dyDescent="0.25">
      <c r="A25">
        <v>32</v>
      </c>
      <c r="B25" t="s">
        <v>161</v>
      </c>
      <c r="C25">
        <f>IF('Scales Input Table'!T25&gt;0,'Scales Input Table'!T25,"")</f>
        <v>262.176176</v>
      </c>
      <c r="D25" s="7">
        <f>'Scales Input Table'!V25</f>
        <v>0.5341207349081365</v>
      </c>
      <c r="E25" s="7">
        <f>'Scales Input Table'!X25</f>
        <v>0.5</v>
      </c>
      <c r="F25">
        <f>IF('Scales Input Table'!M25&gt;0,'Scales Input Table'!M25,"")</f>
        <v>4</v>
      </c>
      <c r="G25">
        <f>IF('Scales Input Table'!N25&gt;0,'Scales Input Table'!N25,"")</f>
        <v>600</v>
      </c>
      <c r="H25" t="str">
        <f>IF('Scales Input Table'!O25&gt;0,'Scales Input Table'!O25,"")</f>
        <v>No</v>
      </c>
      <c r="I25" t="str">
        <f>IF('Scales Input Table'!P25&gt;0,'Scales Input Table'!P25,"")</f>
        <v>Tube Frame</v>
      </c>
      <c r="J25" t="str">
        <f>IF('Scales Input Table'!Q25&gt;0,'Scales Input Table'!Q25,"")</f>
        <v>None</v>
      </c>
      <c r="K25" t="str">
        <f>IF('Scales Input Table'!R25&gt;0,'Scales Input Table'!R25,"")</f>
        <v>10"</v>
      </c>
      <c r="L25">
        <f>IF('Scales Input Table'!S25&gt;0,'Scales Input Table'!S25,"")</f>
        <v>62.99212598425197</v>
      </c>
      <c r="M25" s="25" t="str">
        <f>_xlfn.XLOOKUP(Table2[[#This Row],[Car Number]],'Design Schedule'!$C$2:$C$121,'Design Schedule'!$B$2:$B$121)</f>
        <v>O</v>
      </c>
      <c r="N25" s="25" t="str">
        <f>_xlfn.XLOOKUP(Table2[[#This Row],[Car Number]],'Design Schedule'!$C$2:$C$121,'Design Schedule'!$A$2:$A$121)</f>
        <v>4:30PM</v>
      </c>
    </row>
    <row r="26" spans="1:14" x14ac:dyDescent="0.25">
      <c r="A26">
        <v>33</v>
      </c>
      <c r="B26" t="s">
        <v>23</v>
      </c>
      <c r="C26">
        <f>IF('Scales Input Table'!T26&gt;0,'Scales Input Table'!T26,"")</f>
        <v>146.51021599999999</v>
      </c>
      <c r="D26" s="7">
        <f>'Scales Input Table'!V26</f>
        <v>0.47091932457786118</v>
      </c>
      <c r="E26" s="7">
        <f>'Scales Input Table'!X26</f>
        <v>0.49906191369606001</v>
      </c>
      <c r="F26">
        <f>IF('Scales Input Table'!M26&gt;0,'Scales Input Table'!M26,"")</f>
        <v>1</v>
      </c>
      <c r="G26">
        <f>IF('Scales Input Table'!N26&gt;0,'Scales Input Table'!N26,"")</f>
        <v>450</v>
      </c>
      <c r="H26" t="str">
        <f>IF('Scales Input Table'!O26&gt;0,'Scales Input Table'!O26,"")</f>
        <v>No</v>
      </c>
      <c r="I26" t="str">
        <f>IF('Scales Input Table'!P26&gt;0,'Scales Input Table'!P26,"")</f>
        <v>Monocoque</v>
      </c>
      <c r="J26" t="str">
        <f>IF('Scales Input Table'!Q26&gt;0,'Scales Input Table'!Q26,"")</f>
        <v>Full Package</v>
      </c>
      <c r="K26" t="str">
        <f>IF('Scales Input Table'!R26&gt;0,'Scales Input Table'!R26,"")</f>
        <v>10"</v>
      </c>
      <c r="L26">
        <f>IF('Scales Input Table'!S26&gt;0,'Scales Input Table'!S26,"")</f>
        <v>60.433070866141733</v>
      </c>
      <c r="M26" s="25" t="str">
        <f>_xlfn.XLOOKUP(Table2[[#This Row],[Car Number]],'Design Schedule'!$C$2:$C$121,'Design Schedule'!$B$2:$B$121)</f>
        <v>O</v>
      </c>
      <c r="N26" s="25" t="str">
        <f>_xlfn.XLOOKUP(Table2[[#This Row],[Car Number]],'Design Schedule'!$C$2:$C$121,'Design Schedule'!$A$2:$A$121)</f>
        <v>9:30AM</v>
      </c>
    </row>
    <row r="27" spans="1:14" x14ac:dyDescent="0.25">
      <c r="A27">
        <v>34</v>
      </c>
      <c r="B27" t="s">
        <v>48</v>
      </c>
      <c r="C27">
        <f>IF('Scales Input Table'!T27&gt;0,'Scales Input Table'!T27,"")</f>
        <v>212.28105600000001</v>
      </c>
      <c r="D27" s="7">
        <f>'Scales Input Table'!V27</f>
        <v>0.48177496038034867</v>
      </c>
      <c r="E27" s="7">
        <f>'Scales Input Table'!X27</f>
        <v>0.50237717908082413</v>
      </c>
      <c r="F27">
        <f>IF('Scales Input Table'!M27&gt;0,'Scales Input Table'!M27,"")</f>
        <v>4</v>
      </c>
      <c r="G27">
        <f>IF('Scales Input Table'!N27&gt;0,'Scales Input Table'!N27,"")</f>
        <v>636</v>
      </c>
      <c r="H27" t="str">
        <f>IF('Scales Input Table'!O27&gt;0,'Scales Input Table'!O27,"")</f>
        <v>No</v>
      </c>
      <c r="I27" t="str">
        <f>IF('Scales Input Table'!P27&gt;0,'Scales Input Table'!P27,"")</f>
        <v>Tube Frame</v>
      </c>
      <c r="J27" t="str">
        <f>IF('Scales Input Table'!Q27&gt;0,'Scales Input Table'!Q27,"")</f>
        <v>Full Package</v>
      </c>
      <c r="K27" t="str">
        <f>IF('Scales Input Table'!R27&gt;0,'Scales Input Table'!R27,"")</f>
        <v>10"</v>
      </c>
      <c r="L27">
        <f>IF('Scales Input Table'!S27&gt;0,'Scales Input Table'!S27,"")</f>
        <v>62</v>
      </c>
      <c r="M27" s="25" t="str">
        <f>_xlfn.XLOOKUP(Table2[[#This Row],[Car Number]],'Design Schedule'!$C$2:$C$121,'Design Schedule'!$B$2:$B$121)</f>
        <v>M</v>
      </c>
      <c r="N27" s="25" t="str">
        <f>_xlfn.XLOOKUP(Table2[[#This Row],[Car Number]],'Design Schedule'!$C$2:$C$121,'Design Schedule'!$A$2:$A$121)</f>
        <v>9:30AM</v>
      </c>
    </row>
    <row r="28" spans="1:14" x14ac:dyDescent="0.25">
      <c r="A28">
        <v>35</v>
      </c>
      <c r="B28" t="s">
        <v>86</v>
      </c>
      <c r="C28">
        <f>IF('Scales Input Table'!T28&gt;0,'Scales Input Table'!T28,"")</f>
        <v>249.022008</v>
      </c>
      <c r="D28" s="7">
        <f>'Scales Input Table'!V28</f>
        <v>0.48226950354609927</v>
      </c>
      <c r="E28" s="7">
        <f>'Scales Input Table'!X28</f>
        <v>0.49219858156028368</v>
      </c>
      <c r="F28">
        <f>IF('Scales Input Table'!M28&gt;0,'Scales Input Table'!M28,"")</f>
        <v>3</v>
      </c>
      <c r="G28">
        <f>IF('Scales Input Table'!N28&gt;0,'Scales Input Table'!N28,"")</f>
        <v>675</v>
      </c>
      <c r="H28" t="str">
        <f>IF('Scales Input Table'!O28&gt;0,'Scales Input Table'!O28,"")</f>
        <v>No</v>
      </c>
      <c r="I28" t="str">
        <f>IF('Scales Input Table'!P28&gt;0,'Scales Input Table'!P28,"")</f>
        <v>Monocoque</v>
      </c>
      <c r="J28" t="str">
        <f>IF('Scales Input Table'!Q28&gt;0,'Scales Input Table'!Q28,"")</f>
        <v>Full Package</v>
      </c>
      <c r="K28" t="str">
        <f>IF('Scales Input Table'!R28&gt;0,'Scales Input Table'!R28,"")</f>
        <v>10"</v>
      </c>
      <c r="L28">
        <f>IF('Scales Input Table'!S28&gt;0,'Scales Input Table'!S28,"")</f>
        <v>64.5</v>
      </c>
      <c r="M28" s="25" t="str">
        <f>_xlfn.XLOOKUP(Table2[[#This Row],[Car Number]],'Design Schedule'!$C$2:$C$121,'Design Schedule'!$B$2:$B$121)</f>
        <v>E</v>
      </c>
      <c r="N28" s="25" t="str">
        <f>_xlfn.XLOOKUP(Table2[[#This Row],[Car Number]],'Design Schedule'!$C$2:$C$121,'Design Schedule'!$A$2:$A$121)</f>
        <v>4:30PM</v>
      </c>
    </row>
    <row r="29" spans="1:14" x14ac:dyDescent="0.25">
      <c r="A29">
        <v>36</v>
      </c>
      <c r="B29" t="s">
        <v>109</v>
      </c>
      <c r="C29">
        <f>IF('Scales Input Table'!T29&gt;0,'Scales Input Table'!T29,"")</f>
        <v>209.559504</v>
      </c>
      <c r="D29" s="7">
        <f>'Scales Input Table'!V29</f>
        <v>0.5078125</v>
      </c>
      <c r="E29" s="7">
        <f>'Scales Input Table'!X29</f>
        <v>0.49687500000000001</v>
      </c>
      <c r="F29">
        <f>IF('Scales Input Table'!M29&gt;0,'Scales Input Table'!M29,"")</f>
        <v>4</v>
      </c>
      <c r="G29">
        <f>IF('Scales Input Table'!N29&gt;0,'Scales Input Table'!N29,"")</f>
        <v>599</v>
      </c>
      <c r="H29" t="str">
        <f>IF('Scales Input Table'!O29&gt;0,'Scales Input Table'!O29,"")</f>
        <v>No</v>
      </c>
      <c r="I29" t="str">
        <f>IF('Scales Input Table'!P29&gt;0,'Scales Input Table'!P29,"")</f>
        <v>Tube Frame</v>
      </c>
      <c r="J29" t="str">
        <f>IF('Scales Input Table'!Q29&gt;0,'Scales Input Table'!Q29,"")</f>
        <v>Full Package</v>
      </c>
      <c r="K29" t="str">
        <f>IF('Scales Input Table'!R29&gt;0,'Scales Input Table'!R29,"")</f>
        <v>10"</v>
      </c>
      <c r="L29">
        <f>IF('Scales Input Table'!S29&gt;0,'Scales Input Table'!S29,"")</f>
        <v>64</v>
      </c>
      <c r="M29" s="25" t="str">
        <f>_xlfn.XLOOKUP(Table2[[#This Row],[Car Number]],'Design Schedule'!$C$2:$C$121,'Design Schedule'!$B$2:$B$121)</f>
        <v>K</v>
      </c>
      <c r="N29" s="25" t="str">
        <f>_xlfn.XLOOKUP(Table2[[#This Row],[Car Number]],'Design Schedule'!$C$2:$C$121,'Design Schedule'!$A$2:$A$121)</f>
        <v>8:30AM</v>
      </c>
    </row>
    <row r="30" spans="1:14" x14ac:dyDescent="0.25">
      <c r="A30">
        <v>37</v>
      </c>
      <c r="B30" t="s">
        <v>47</v>
      </c>
      <c r="C30">
        <f>IF('Scales Input Table'!T30&gt;0,'Scales Input Table'!T30,"")</f>
        <v>193.23019199999999</v>
      </c>
      <c r="D30" s="7">
        <f>'Scales Input Table'!V30</f>
        <v>0.42857142857142855</v>
      </c>
      <c r="E30" s="7">
        <f>'Scales Input Table'!X30</f>
        <v>0.50871080139372826</v>
      </c>
      <c r="F30">
        <f>IF('Scales Input Table'!M30&gt;0,'Scales Input Table'!M30,"")</f>
        <v>4</v>
      </c>
      <c r="G30">
        <f>IF('Scales Input Table'!N30&gt;0,'Scales Input Table'!N30,"")</f>
        <v>600</v>
      </c>
      <c r="H30" t="str">
        <f>IF('Scales Input Table'!O30&gt;0,'Scales Input Table'!O30,"")</f>
        <v>No</v>
      </c>
      <c r="I30" t="str">
        <f>IF('Scales Input Table'!P30&gt;0,'Scales Input Table'!P30,"")</f>
        <v>Hybrid</v>
      </c>
      <c r="J30" t="str">
        <f>IF('Scales Input Table'!Q30&gt;0,'Scales Input Table'!Q30,"")</f>
        <v>Full Package</v>
      </c>
      <c r="K30" t="str">
        <f>IF('Scales Input Table'!R30&gt;0,'Scales Input Table'!R30,"")</f>
        <v>13"</v>
      </c>
      <c r="L30">
        <f>IF('Scales Input Table'!S30&gt;0,'Scales Input Table'!S30,"")</f>
        <v>64</v>
      </c>
      <c r="M30" s="25" t="str">
        <f>_xlfn.XLOOKUP(Table2[[#This Row],[Car Number]],'Design Schedule'!$C$2:$C$121,'Design Schedule'!$B$2:$B$121)</f>
        <v>H</v>
      </c>
      <c r="N30" s="25" t="str">
        <f>_xlfn.XLOOKUP(Table2[[#This Row],[Car Number]],'Design Schedule'!$C$2:$C$121,'Design Schedule'!$A$2:$A$121)</f>
        <v>9:30AM</v>
      </c>
    </row>
    <row r="31" spans="1:14" x14ac:dyDescent="0.25">
      <c r="A31">
        <v>38</v>
      </c>
      <c r="B31" t="s">
        <v>52</v>
      </c>
      <c r="C31">
        <f>IF('Scales Input Table'!T31&gt;0,'Scales Input Table'!T31,"")</f>
        <v>198.67329599999999</v>
      </c>
      <c r="D31" s="7">
        <f>'Scales Input Table'!V31</f>
        <v>0.50332225913621265</v>
      </c>
      <c r="E31" s="7">
        <f>'Scales Input Table'!X31</f>
        <v>0.50332225913621265</v>
      </c>
      <c r="F31">
        <f>IF('Scales Input Table'!M31&gt;0,'Scales Input Table'!M31,"")</f>
        <v>4</v>
      </c>
      <c r="G31">
        <f>IF('Scales Input Table'!N31&gt;0,'Scales Input Table'!N31,"")</f>
        <v>599</v>
      </c>
      <c r="H31" t="str">
        <f>IF('Scales Input Table'!O31&gt;0,'Scales Input Table'!O31,"")</f>
        <v>No</v>
      </c>
      <c r="I31" t="str">
        <f>IF('Scales Input Table'!P31&gt;0,'Scales Input Table'!P31,"")</f>
        <v>Tube Frame</v>
      </c>
      <c r="J31" t="str">
        <f>IF('Scales Input Table'!Q31&gt;0,'Scales Input Table'!Q31,"")</f>
        <v>None</v>
      </c>
      <c r="K31" t="str">
        <f>IF('Scales Input Table'!R31&gt;0,'Scales Input Table'!R31,"")</f>
        <v>10"</v>
      </c>
      <c r="L31">
        <f>IF('Scales Input Table'!S31&gt;0,'Scales Input Table'!S31,"")</f>
        <v>63</v>
      </c>
      <c r="M31" s="25" t="str">
        <f>_xlfn.XLOOKUP(Table2[[#This Row],[Car Number]],'Design Schedule'!$C$2:$C$121,'Design Schedule'!$B$2:$B$121)</f>
        <v>B</v>
      </c>
      <c r="N31" s="25" t="str">
        <f>_xlfn.XLOOKUP(Table2[[#This Row],[Car Number]],'Design Schedule'!$C$2:$C$121,'Design Schedule'!$A$2:$A$121)</f>
        <v>1:30PM</v>
      </c>
    </row>
    <row r="32" spans="1:14" x14ac:dyDescent="0.25">
      <c r="A32">
        <v>39</v>
      </c>
      <c r="B32" t="s">
        <v>44</v>
      </c>
      <c r="C32">
        <f>IF('Scales Input Table'!T32&gt;0,'Scales Input Table'!T32,"")</f>
        <v>213.64183199999999</v>
      </c>
      <c r="D32" s="7">
        <f>'Scales Input Table'!V32</f>
        <v>0.49393939393939396</v>
      </c>
      <c r="E32" s="7">
        <f>'Scales Input Table'!X32</f>
        <v>0.50757575757575757</v>
      </c>
      <c r="F32">
        <f>IF('Scales Input Table'!M32&gt;0,'Scales Input Table'!M32,"")</f>
        <v>4</v>
      </c>
      <c r="G32">
        <f>IF('Scales Input Table'!N32&gt;0,'Scales Input Table'!N32,"")</f>
        <v>600</v>
      </c>
      <c r="H32" t="str">
        <f>IF('Scales Input Table'!O32&gt;0,'Scales Input Table'!O32,"")</f>
        <v>No</v>
      </c>
      <c r="I32" t="str">
        <f>IF('Scales Input Table'!P32&gt;0,'Scales Input Table'!P32,"")</f>
        <v>Tube Frame</v>
      </c>
      <c r="J32" t="str">
        <f>IF('Scales Input Table'!Q32&gt;0,'Scales Input Table'!Q32,"")</f>
        <v>Wings Only</v>
      </c>
      <c r="K32" t="str">
        <f>IF('Scales Input Table'!R32&gt;0,'Scales Input Table'!R32,"")</f>
        <v>10"</v>
      </c>
      <c r="L32">
        <f>IF('Scales Input Table'!S32&gt;0,'Scales Input Table'!S32,"")</f>
        <v>62.5</v>
      </c>
      <c r="M32" s="25" t="str">
        <f>_xlfn.XLOOKUP(Table2[[#This Row],[Car Number]],'Design Schedule'!$C$2:$C$121,'Design Schedule'!$B$2:$B$121)</f>
        <v>A</v>
      </c>
      <c r="N32" s="25" t="str">
        <f>_xlfn.XLOOKUP(Table2[[#This Row],[Car Number]],'Design Schedule'!$C$2:$C$121,'Design Schedule'!$A$2:$A$121)</f>
        <v>9:30AM</v>
      </c>
    </row>
    <row r="33" spans="1:14" x14ac:dyDescent="0.25">
      <c r="A33">
        <v>40</v>
      </c>
      <c r="B33" t="s">
        <v>162</v>
      </c>
      <c r="C33">
        <f>IF('Scales Input Table'!T33&gt;0,'Scales Input Table'!T33,"")</f>
        <v>221.806488</v>
      </c>
      <c r="D33" s="7">
        <f>'Scales Input Table'!V33</f>
        <v>0.48406676783004554</v>
      </c>
      <c r="E33" s="7">
        <f>'Scales Input Table'!X33</f>
        <v>0.50986342943854324</v>
      </c>
      <c r="F33">
        <f>IF('Scales Input Table'!M33&gt;0,'Scales Input Table'!M33,"")</f>
        <v>4</v>
      </c>
      <c r="G33">
        <f>IF('Scales Input Table'!N33&gt;0,'Scales Input Table'!N33,"")</f>
        <v>600</v>
      </c>
      <c r="H33" t="str">
        <f>IF('Scales Input Table'!O33&gt;0,'Scales Input Table'!O33,"")</f>
        <v>No</v>
      </c>
      <c r="I33" t="str">
        <f>IF('Scales Input Table'!P33&gt;0,'Scales Input Table'!P33,"")</f>
        <v>Tube Frame</v>
      </c>
      <c r="J33" t="str">
        <f>IF('Scales Input Table'!Q33&gt;0,'Scales Input Table'!Q33,"")</f>
        <v>Wings Only</v>
      </c>
      <c r="K33" t="str">
        <f>IF('Scales Input Table'!R33&gt;0,'Scales Input Table'!R33,"")</f>
        <v>10"</v>
      </c>
      <c r="L33">
        <f>IF('Scales Input Table'!S33&gt;0,'Scales Input Table'!S33,"")</f>
        <v>61.5</v>
      </c>
      <c r="M33" s="25" t="str">
        <f>_xlfn.XLOOKUP(Table2[[#This Row],[Car Number]],'Design Schedule'!$C$2:$C$121,'Design Schedule'!$B$2:$B$121)</f>
        <v>E</v>
      </c>
      <c r="N33" s="25" t="str">
        <f>_xlfn.XLOOKUP(Table2[[#This Row],[Car Number]],'Design Schedule'!$C$2:$C$121,'Design Schedule'!$A$2:$A$121)</f>
        <v>10:30AM</v>
      </c>
    </row>
    <row r="34" spans="1:14" x14ac:dyDescent="0.25">
      <c r="A34">
        <v>41</v>
      </c>
      <c r="B34" t="s">
        <v>43</v>
      </c>
      <c r="C34">
        <f>IF('Scales Input Table'!T34&gt;0,'Scales Input Table'!T34,"")</f>
        <v>248.114824</v>
      </c>
      <c r="D34" s="7">
        <f>'Scales Input Table'!V34</f>
        <v>0.52997275204359673</v>
      </c>
      <c r="E34" s="7">
        <f>'Scales Input Table'!X34</f>
        <v>0.49863760217983649</v>
      </c>
      <c r="F34">
        <f>IF('Scales Input Table'!M34&gt;0,'Scales Input Table'!M34,"")</f>
        <v>4</v>
      </c>
      <c r="G34">
        <f>IF('Scales Input Table'!N34&gt;0,'Scales Input Table'!N34,"")</f>
        <v>599</v>
      </c>
      <c r="H34" t="str">
        <f>IF('Scales Input Table'!O34&gt;0,'Scales Input Table'!O34,"")</f>
        <v>No</v>
      </c>
      <c r="I34" t="str">
        <f>IF('Scales Input Table'!P34&gt;0,'Scales Input Table'!P34,"")</f>
        <v>Tube Frame</v>
      </c>
      <c r="J34" t="str">
        <f>IF('Scales Input Table'!Q34&gt;0,'Scales Input Table'!Q34,"")</f>
        <v>None</v>
      </c>
      <c r="K34" t="str">
        <f>IF('Scales Input Table'!R34&gt;0,'Scales Input Table'!R34,"")</f>
        <v>13"</v>
      </c>
      <c r="L34">
        <f>IF('Scales Input Table'!S34&gt;0,'Scales Input Table'!S34,"")</f>
        <v>60</v>
      </c>
      <c r="M34" s="25" t="str">
        <f>_xlfn.XLOOKUP(Table2[[#This Row],[Car Number]],'Design Schedule'!$C$2:$C$121,'Design Schedule'!$B$2:$B$121)</f>
        <v>H</v>
      </c>
      <c r="N34" s="25" t="str">
        <f>_xlfn.XLOOKUP(Table2[[#This Row],[Car Number]],'Design Schedule'!$C$2:$C$121,'Design Schedule'!$A$2:$A$121)</f>
        <v>2:30PM</v>
      </c>
    </row>
    <row r="35" spans="1:14" x14ac:dyDescent="0.25">
      <c r="A35">
        <v>42</v>
      </c>
      <c r="B35" t="s">
        <v>163</v>
      </c>
      <c r="C35">
        <f>IF('Scales Input Table'!T35&gt;0,'Scales Input Table'!T35,"")</f>
        <v>237.682208</v>
      </c>
      <c r="D35" s="7">
        <f>'Scales Input Table'!V35</f>
        <v>0.4956521739130435</v>
      </c>
      <c r="E35" s="7">
        <f>'Scales Input Table'!X35</f>
        <v>0.50579710144927537</v>
      </c>
      <c r="F35">
        <f>IF('Scales Input Table'!M35&gt;0,'Scales Input Table'!M35,"")</f>
        <v>4</v>
      </c>
      <c r="G35">
        <f>IF('Scales Input Table'!N35&gt;0,'Scales Input Table'!N35,"")</f>
        <v>600</v>
      </c>
      <c r="H35" t="str">
        <f>IF('Scales Input Table'!O35&gt;0,'Scales Input Table'!O35,"")</f>
        <v>No</v>
      </c>
      <c r="I35" t="str">
        <f>IF('Scales Input Table'!P35&gt;0,'Scales Input Table'!P35,"")</f>
        <v>Tube Frame</v>
      </c>
      <c r="J35" t="str">
        <f>IF('Scales Input Table'!Q35&gt;0,'Scales Input Table'!Q35,"")</f>
        <v>None</v>
      </c>
      <c r="K35" t="str">
        <f>IF('Scales Input Table'!R35&gt;0,'Scales Input Table'!R35,"")</f>
        <v>10"</v>
      </c>
      <c r="L35">
        <f>IF('Scales Input Table'!S35&gt;0,'Scales Input Table'!S35,"")</f>
        <v>60</v>
      </c>
      <c r="M35" s="25" t="str">
        <f>_xlfn.XLOOKUP(Table2[[#This Row],[Car Number]],'Design Schedule'!$C$2:$C$121,'Design Schedule'!$B$2:$B$121)</f>
        <v>M</v>
      </c>
      <c r="N35" s="25" t="str">
        <f>_xlfn.XLOOKUP(Table2[[#This Row],[Car Number]],'Design Schedule'!$C$2:$C$121,'Design Schedule'!$A$2:$A$121)</f>
        <v>2:30PM</v>
      </c>
    </row>
    <row r="36" spans="1:14" x14ac:dyDescent="0.25">
      <c r="A36">
        <v>43</v>
      </c>
      <c r="B36" t="s">
        <v>78</v>
      </c>
      <c r="C36">
        <f>IF('Scales Input Table'!T36&gt;0,'Scales Input Table'!T36,"")</f>
        <v>170.09700000000001</v>
      </c>
      <c r="D36" s="7">
        <f>'Scales Input Table'!V36</f>
        <v>0.49070631970260226</v>
      </c>
      <c r="E36" s="7">
        <f>'Scales Input Table'!X36</f>
        <v>0.49256505576208176</v>
      </c>
      <c r="F36">
        <f>IF('Scales Input Table'!M36&gt;0,'Scales Input Table'!M36,"")</f>
        <v>1</v>
      </c>
      <c r="G36">
        <f>IF('Scales Input Table'!N36&gt;0,'Scales Input Table'!N36,"")</f>
        <v>449</v>
      </c>
      <c r="H36" t="str">
        <f>IF('Scales Input Table'!O36&gt;0,'Scales Input Table'!O36,"")</f>
        <v>No</v>
      </c>
      <c r="I36" t="str">
        <f>IF('Scales Input Table'!P36&gt;0,'Scales Input Table'!P36,"")</f>
        <v>Tube Frame</v>
      </c>
      <c r="J36" t="str">
        <f>IF('Scales Input Table'!Q36&gt;0,'Scales Input Table'!Q36,"")</f>
        <v>None</v>
      </c>
      <c r="K36" t="str">
        <f>IF('Scales Input Table'!R36&gt;0,'Scales Input Table'!R36,"")</f>
        <v>10"</v>
      </c>
      <c r="L36">
        <f>IF('Scales Input Table'!S36&gt;0,'Scales Input Table'!S36,"")</f>
        <v>61.5</v>
      </c>
      <c r="M36" s="25" t="str">
        <f>_xlfn.XLOOKUP(Table2[[#This Row],[Car Number]],'Design Schedule'!$C$2:$C$121,'Design Schedule'!$B$2:$B$121)</f>
        <v>A</v>
      </c>
      <c r="N36" s="25" t="str">
        <f>_xlfn.XLOOKUP(Table2[[#This Row],[Car Number]],'Design Schedule'!$C$2:$C$121,'Design Schedule'!$A$2:$A$121)</f>
        <v>10:30AM</v>
      </c>
    </row>
    <row r="37" spans="1:14" x14ac:dyDescent="0.25">
      <c r="A37">
        <v>44</v>
      </c>
      <c r="B37" t="s">
        <v>164</v>
      </c>
      <c r="C37">
        <f>IF('Scales Input Table'!T37&gt;0,'Scales Input Table'!T37,"")</f>
        <v>255.37229600000001</v>
      </c>
      <c r="D37" s="7">
        <f>'Scales Input Table'!V37</f>
        <v>0.53103448275862064</v>
      </c>
      <c r="E37" s="7">
        <f>'Scales Input Table'!X37</f>
        <v>0.50206896551724134</v>
      </c>
      <c r="F37">
        <f>IF('Scales Input Table'!M37&gt;0,'Scales Input Table'!M37,"")</f>
        <v>4</v>
      </c>
      <c r="G37">
        <f>IF('Scales Input Table'!N37&gt;0,'Scales Input Table'!N37,"")</f>
        <v>599</v>
      </c>
      <c r="H37" t="str">
        <f>IF('Scales Input Table'!O37&gt;0,'Scales Input Table'!O37,"")</f>
        <v>No</v>
      </c>
      <c r="I37" t="str">
        <f>IF('Scales Input Table'!P37&gt;0,'Scales Input Table'!P37,"")</f>
        <v>Tube Frame</v>
      </c>
      <c r="J37" t="str">
        <f>IF('Scales Input Table'!Q37&gt;0,'Scales Input Table'!Q37,"")</f>
        <v>Wings Only</v>
      </c>
      <c r="K37" t="str">
        <f>IF('Scales Input Table'!R37&gt;0,'Scales Input Table'!R37,"")</f>
        <v>10"</v>
      </c>
      <c r="L37">
        <f>IF('Scales Input Table'!S37&gt;0,'Scales Input Table'!S37,"")</f>
        <v>60.039370078740163</v>
      </c>
      <c r="M37" s="25" t="str">
        <f>_xlfn.XLOOKUP(Table2[[#This Row],[Car Number]],'Design Schedule'!$C$2:$C$121,'Design Schedule'!$B$2:$B$121)</f>
        <v>M</v>
      </c>
      <c r="N37" s="25" t="str">
        <f>_xlfn.XLOOKUP(Table2[[#This Row],[Car Number]],'Design Schedule'!$C$2:$C$121,'Design Schedule'!$A$2:$A$121)</f>
        <v>4:30PM</v>
      </c>
    </row>
    <row r="38" spans="1:14" x14ac:dyDescent="0.25">
      <c r="A38">
        <v>46</v>
      </c>
      <c r="B38" t="s">
        <v>26</v>
      </c>
      <c r="C38">
        <f>IF('Scales Input Table'!T38&gt;0,'Scales Input Table'!T38,"")</f>
        <v>197.31252000000001</v>
      </c>
      <c r="D38" s="7">
        <f>'Scales Input Table'!V38</f>
        <v>0.48347826086956519</v>
      </c>
      <c r="E38" s="7">
        <f>'Scales Input Table'!X38</f>
        <v>0.49739130434782608</v>
      </c>
      <c r="F38">
        <f>IF('Scales Input Table'!M38&gt;0,'Scales Input Table'!M38,"")</f>
        <v>3</v>
      </c>
      <c r="G38">
        <f>IF('Scales Input Table'!N38&gt;0,'Scales Input Table'!N38,"")</f>
        <v>675</v>
      </c>
      <c r="H38" t="str">
        <f>IF('Scales Input Table'!O38&gt;0,'Scales Input Table'!O38,"")</f>
        <v>No</v>
      </c>
      <c r="I38" t="str">
        <f>IF('Scales Input Table'!P38&gt;0,'Scales Input Table'!P38,"")</f>
        <v>Tube Frame</v>
      </c>
      <c r="J38" t="str">
        <f>IF('Scales Input Table'!Q38&gt;0,'Scales Input Table'!Q38,"")</f>
        <v>Full Package</v>
      </c>
      <c r="K38" t="str">
        <f>IF('Scales Input Table'!R38&gt;0,'Scales Input Table'!R38,"")</f>
        <v>10"</v>
      </c>
      <c r="L38">
        <f>IF('Scales Input Table'!S38&gt;0,'Scales Input Table'!S38,"")</f>
        <v>61.5</v>
      </c>
      <c r="M38" s="25" t="str">
        <f>_xlfn.XLOOKUP(Table2[[#This Row],[Car Number]],'Design Schedule'!$C$2:$C$121,'Design Schedule'!$B$2:$B$121)</f>
        <v>B</v>
      </c>
      <c r="N38" s="25" t="str">
        <f>_xlfn.XLOOKUP(Table2[[#This Row],[Car Number]],'Design Schedule'!$C$2:$C$121,'Design Schedule'!$A$2:$A$121)</f>
        <v>8:30AM</v>
      </c>
    </row>
    <row r="39" spans="1:14" x14ac:dyDescent="0.25">
      <c r="A39">
        <v>47</v>
      </c>
      <c r="B39" t="s">
        <v>35</v>
      </c>
      <c r="C39">
        <f>IF('Scales Input Table'!T39&gt;0,'Scales Input Table'!T39,"")</f>
        <v>205.023584</v>
      </c>
      <c r="D39" s="7">
        <f>'Scales Input Table'!V39</f>
        <v>0.43396226415094341</v>
      </c>
      <c r="E39" s="7">
        <f>'Scales Input Table'!X39</f>
        <v>0.49842767295597484</v>
      </c>
      <c r="F39">
        <f>IF('Scales Input Table'!M39&gt;0,'Scales Input Table'!M39,"")</f>
        <v>4</v>
      </c>
      <c r="G39">
        <f>IF('Scales Input Table'!N39&gt;0,'Scales Input Table'!N39,"")</f>
        <v>600</v>
      </c>
      <c r="H39" t="str">
        <f>IF('Scales Input Table'!O39&gt;0,'Scales Input Table'!O39,"")</f>
        <v>No</v>
      </c>
      <c r="I39" t="str">
        <f>IF('Scales Input Table'!P39&gt;0,'Scales Input Table'!P39,"")</f>
        <v>Tube Frame</v>
      </c>
      <c r="J39" t="str">
        <f>IF('Scales Input Table'!Q39&gt;0,'Scales Input Table'!Q39,"")</f>
        <v>Wings Only</v>
      </c>
      <c r="K39" t="str">
        <f>IF('Scales Input Table'!R39&gt;0,'Scales Input Table'!R39,"")</f>
        <v>10"</v>
      </c>
      <c r="L39">
        <f>IF('Scales Input Table'!S39&gt;0,'Scales Input Table'!S39,"")</f>
        <v>60</v>
      </c>
      <c r="M39" s="25" t="str">
        <f>_xlfn.XLOOKUP(Table2[[#This Row],[Car Number]],'Design Schedule'!$C$2:$C$121,'Design Schedule'!$B$2:$B$121)</f>
        <v>G</v>
      </c>
      <c r="N39" s="25" t="str">
        <f>_xlfn.XLOOKUP(Table2[[#This Row],[Car Number]],'Design Schedule'!$C$2:$C$121,'Design Schedule'!$A$2:$A$121)</f>
        <v>10:30AM</v>
      </c>
    </row>
    <row r="40" spans="1:14" x14ac:dyDescent="0.25">
      <c r="A40">
        <v>48</v>
      </c>
      <c r="B40" t="s">
        <v>165</v>
      </c>
      <c r="C40" t="str">
        <f>IF('Scales Input Table'!T40&gt;0,'Scales Input Table'!T40,"")</f>
        <v/>
      </c>
      <c r="D40" s="7" t="str">
        <f>'Scales Input Table'!V40</f>
        <v/>
      </c>
      <c r="E40" s="7" t="str">
        <f>'Scales Input Table'!X40</f>
        <v/>
      </c>
      <c r="F40" t="str">
        <f>IF('Scales Input Table'!M40&gt;0,'Scales Input Table'!M40,"")</f>
        <v/>
      </c>
      <c r="G40" t="str">
        <f>IF('Scales Input Table'!N40&gt;0,'Scales Input Table'!N40,"")</f>
        <v/>
      </c>
      <c r="H40" t="str">
        <f>IF('Scales Input Table'!O40&gt;0,'Scales Input Table'!O40,"")</f>
        <v/>
      </c>
      <c r="I40" t="str">
        <f>IF('Scales Input Table'!P40&gt;0,'Scales Input Table'!P40,"")</f>
        <v/>
      </c>
      <c r="J40" t="str">
        <f>IF('Scales Input Table'!Q40&gt;0,'Scales Input Table'!Q40,"")</f>
        <v/>
      </c>
      <c r="K40" t="str">
        <f>IF('Scales Input Table'!R40&gt;0,'Scales Input Table'!R40,"")</f>
        <v/>
      </c>
      <c r="L40" t="str">
        <f>IF('Scales Input Table'!S40&gt;0,'Scales Input Table'!S40,"")</f>
        <v/>
      </c>
      <c r="M40" s="25" t="str">
        <f>_xlfn.XLOOKUP(Table2[[#This Row],[Car Number]],'Design Schedule'!$C$2:$C$121,'Design Schedule'!$B$2:$B$121)</f>
        <v>H</v>
      </c>
      <c r="N40" s="25" t="str">
        <f>_xlfn.XLOOKUP(Table2[[#This Row],[Car Number]],'Design Schedule'!$C$2:$C$121,'Design Schedule'!$A$2:$A$121)</f>
        <v>12:30PM</v>
      </c>
    </row>
    <row r="41" spans="1:14" x14ac:dyDescent="0.25">
      <c r="A41">
        <v>49</v>
      </c>
      <c r="B41" t="s">
        <v>166</v>
      </c>
      <c r="C41">
        <f>IF('Scales Input Table'!T41&gt;0,'Scales Input Table'!T41,"")</f>
        <v>241.76453599999999</v>
      </c>
      <c r="D41" s="7">
        <f>'Scales Input Table'!V41</f>
        <v>0.4971830985915493</v>
      </c>
      <c r="E41" s="7">
        <f>'Scales Input Table'!X41</f>
        <v>0.50140845070422535</v>
      </c>
      <c r="F41">
        <f>IF('Scales Input Table'!M41&gt;0,'Scales Input Table'!M41,"")</f>
        <v>4</v>
      </c>
      <c r="G41">
        <f>IF('Scales Input Table'!N41&gt;0,'Scales Input Table'!N41,"")</f>
        <v>600</v>
      </c>
      <c r="H41" t="str">
        <f>IF('Scales Input Table'!O41&gt;0,'Scales Input Table'!O41,"")</f>
        <v>No</v>
      </c>
      <c r="I41" t="str">
        <f>IF('Scales Input Table'!P41&gt;0,'Scales Input Table'!P41,"")</f>
        <v>Tube Frame</v>
      </c>
      <c r="J41" t="str">
        <f>IF('Scales Input Table'!Q41&gt;0,'Scales Input Table'!Q41,"")</f>
        <v>None</v>
      </c>
      <c r="K41" t="str">
        <f>IF('Scales Input Table'!R41&gt;0,'Scales Input Table'!R41,"")</f>
        <v>13"</v>
      </c>
      <c r="L41">
        <f>IF('Scales Input Table'!S41&gt;0,'Scales Input Table'!S41,"")</f>
        <v>68</v>
      </c>
      <c r="M41" s="25" t="str">
        <f>_xlfn.XLOOKUP(Table2[[#This Row],[Car Number]],'Design Schedule'!$C$2:$C$121,'Design Schedule'!$B$2:$B$121)</f>
        <v>L</v>
      </c>
      <c r="N41" s="25" t="str">
        <f>_xlfn.XLOOKUP(Table2[[#This Row],[Car Number]],'Design Schedule'!$C$2:$C$121,'Design Schedule'!$A$2:$A$121)</f>
        <v>12:30PM</v>
      </c>
    </row>
    <row r="42" spans="1:14" x14ac:dyDescent="0.25">
      <c r="A42">
        <v>50</v>
      </c>
      <c r="B42" t="s">
        <v>75</v>
      </c>
      <c r="C42">
        <f>IF('Scales Input Table'!T42&gt;0,'Scales Input Table'!T42,"")</f>
        <v>201.84844000000001</v>
      </c>
      <c r="D42" s="7">
        <f>'Scales Input Table'!V42</f>
        <v>0.47899159663865548</v>
      </c>
      <c r="E42" s="7">
        <f>'Scales Input Table'!X42</f>
        <v>0.48403361344537815</v>
      </c>
      <c r="F42">
        <f>IF('Scales Input Table'!M42&gt;0,'Scales Input Table'!M42,"")</f>
        <v>2</v>
      </c>
      <c r="G42">
        <f>IF('Scales Input Table'!N42&gt;0,'Scales Input Table'!N42,"")</f>
        <v>499</v>
      </c>
      <c r="H42" t="str">
        <f>IF('Scales Input Table'!O42&gt;0,'Scales Input Table'!O42,"")</f>
        <v>No</v>
      </c>
      <c r="I42" t="str">
        <f>IF('Scales Input Table'!P42&gt;0,'Scales Input Table'!P42,"")</f>
        <v>Tube Frame</v>
      </c>
      <c r="J42" t="str">
        <f>IF('Scales Input Table'!Q42&gt;0,'Scales Input Table'!Q42,"")</f>
        <v>Full Package</v>
      </c>
      <c r="K42" t="str">
        <f>IF('Scales Input Table'!R42&gt;0,'Scales Input Table'!R42,"")</f>
        <v>10"</v>
      </c>
      <c r="L42">
        <f>IF('Scales Input Table'!S42&gt;0,'Scales Input Table'!S42,"")</f>
        <v>66</v>
      </c>
      <c r="M42" s="25" t="str">
        <f>_xlfn.XLOOKUP(Table2[[#This Row],[Car Number]],'Design Schedule'!$C$2:$C$121,'Design Schedule'!$B$2:$B$121)</f>
        <v>K</v>
      </c>
      <c r="N42" s="25" t="str">
        <f>_xlfn.XLOOKUP(Table2[[#This Row],[Car Number]],'Design Schedule'!$C$2:$C$121,'Design Schedule'!$A$2:$A$121)</f>
        <v>1:30PM</v>
      </c>
    </row>
    <row r="43" spans="1:14" x14ac:dyDescent="0.25">
      <c r="A43">
        <v>51</v>
      </c>
      <c r="B43" t="s">
        <v>55</v>
      </c>
      <c r="C43">
        <f>IF('Scales Input Table'!T43&gt;0,'Scales Input Table'!T43,"")</f>
        <v>226.34240800000001</v>
      </c>
      <c r="D43" s="7">
        <f>'Scales Input Table'!V43</f>
        <v>0.46322378716744916</v>
      </c>
      <c r="E43" s="7">
        <f>'Scales Input Table'!X43</f>
        <v>0.50078247261345854</v>
      </c>
      <c r="F43">
        <f>IF('Scales Input Table'!M43&gt;0,'Scales Input Table'!M43,"")</f>
        <v>4</v>
      </c>
      <c r="G43">
        <f>IF('Scales Input Table'!N43&gt;0,'Scales Input Table'!N43,"")</f>
        <v>599</v>
      </c>
      <c r="H43" t="str">
        <f>IF('Scales Input Table'!O43&gt;0,'Scales Input Table'!O43,"")</f>
        <v>No</v>
      </c>
      <c r="I43" t="str">
        <f>IF('Scales Input Table'!P43&gt;0,'Scales Input Table'!P43,"")</f>
        <v>Tube Frame</v>
      </c>
      <c r="J43" t="str">
        <f>IF('Scales Input Table'!Q43&gt;0,'Scales Input Table'!Q43,"")</f>
        <v>Full Package</v>
      </c>
      <c r="K43" t="str">
        <f>IF('Scales Input Table'!R43&gt;0,'Scales Input Table'!R43,"")</f>
        <v>13"</v>
      </c>
      <c r="L43">
        <f>IF('Scales Input Table'!S43&gt;0,'Scales Input Table'!S43,"")</f>
        <v>61.023622047244096</v>
      </c>
      <c r="M43" s="25" t="str">
        <f>_xlfn.XLOOKUP(Table2[[#This Row],[Car Number]],'Design Schedule'!$C$2:$C$121,'Design Schedule'!$B$2:$B$121)</f>
        <v>F</v>
      </c>
      <c r="N43" s="25" t="str">
        <f>_xlfn.XLOOKUP(Table2[[#This Row],[Car Number]],'Design Schedule'!$C$2:$C$121,'Design Schedule'!$A$2:$A$121)</f>
        <v>1:30PM</v>
      </c>
    </row>
    <row r="44" spans="1:14" x14ac:dyDescent="0.25">
      <c r="A44">
        <v>52</v>
      </c>
      <c r="B44" t="s">
        <v>99</v>
      </c>
      <c r="C44">
        <f>IF('Scales Input Table'!T44&gt;0,'Scales Input Table'!T44,"")</f>
        <v>215.00260800000001</v>
      </c>
      <c r="D44" s="7">
        <f>'Scales Input Table'!V44</f>
        <v>0.51587301587301593</v>
      </c>
      <c r="E44" s="7">
        <f>'Scales Input Table'!X44</f>
        <v>0.50476190476190474</v>
      </c>
      <c r="F44">
        <f>IF('Scales Input Table'!M44&gt;0,'Scales Input Table'!M44,"")</f>
        <v>4</v>
      </c>
      <c r="G44">
        <f>IF('Scales Input Table'!N44&gt;0,'Scales Input Table'!N44,"")</f>
        <v>600</v>
      </c>
      <c r="H44" t="str">
        <f>IF('Scales Input Table'!O44&gt;0,'Scales Input Table'!O44,"")</f>
        <v>No</v>
      </c>
      <c r="I44" t="str">
        <f>IF('Scales Input Table'!P44&gt;0,'Scales Input Table'!P44,"")</f>
        <v>Hybrid</v>
      </c>
      <c r="J44" t="str">
        <f>IF('Scales Input Table'!Q44&gt;0,'Scales Input Table'!Q44,"")</f>
        <v>Full Package</v>
      </c>
      <c r="K44" t="str">
        <f>IF('Scales Input Table'!R44&gt;0,'Scales Input Table'!R44,"")</f>
        <v>10"</v>
      </c>
      <c r="L44">
        <f>IF('Scales Input Table'!S44&gt;0,'Scales Input Table'!S44,"")</f>
        <v>61.023622047244096</v>
      </c>
      <c r="M44" s="25" t="str">
        <f>_xlfn.XLOOKUP(Table2[[#This Row],[Car Number]],'Design Schedule'!$C$2:$C$121,'Design Schedule'!$B$2:$B$121)</f>
        <v>I</v>
      </c>
      <c r="N44" s="25" t="str">
        <f>_xlfn.XLOOKUP(Table2[[#This Row],[Car Number]],'Design Schedule'!$C$2:$C$121,'Design Schedule'!$A$2:$A$121)</f>
        <v>10:30AM</v>
      </c>
    </row>
    <row r="45" spans="1:14" x14ac:dyDescent="0.25">
      <c r="A45">
        <v>54</v>
      </c>
      <c r="B45" t="s">
        <v>42</v>
      </c>
      <c r="C45">
        <f>IF('Scales Input Table'!T45&gt;0,'Scales Input Table'!T45,"")</f>
        <v>228.15677600000001</v>
      </c>
      <c r="D45" s="7">
        <f>'Scales Input Table'!V45</f>
        <v>0.54185022026431717</v>
      </c>
      <c r="E45" s="7">
        <f>'Scales Input Table'!X45</f>
        <v>0.4933920704845815</v>
      </c>
      <c r="F45">
        <f>IF('Scales Input Table'!M45&gt;0,'Scales Input Table'!M45,"")</f>
        <v>2</v>
      </c>
      <c r="G45">
        <f>IF('Scales Input Table'!N45&gt;0,'Scales Input Table'!N45,"")</f>
        <v>499</v>
      </c>
      <c r="H45" t="str">
        <f>IF('Scales Input Table'!O45&gt;0,'Scales Input Table'!O45,"")</f>
        <v>Yes, Cooler</v>
      </c>
      <c r="I45" t="str">
        <f>IF('Scales Input Table'!P45&gt;0,'Scales Input Table'!P45,"")</f>
        <v>Tube Frame</v>
      </c>
      <c r="J45" t="str">
        <f>IF('Scales Input Table'!Q45&gt;0,'Scales Input Table'!Q45,"")</f>
        <v>Full Package</v>
      </c>
      <c r="K45" t="str">
        <f>IF('Scales Input Table'!R45&gt;0,'Scales Input Table'!R45,"")</f>
        <v>10"</v>
      </c>
      <c r="L45">
        <f>IF('Scales Input Table'!S45&gt;0,'Scales Input Table'!S45,"")</f>
        <v>61</v>
      </c>
      <c r="M45" s="25" t="str">
        <f>_xlfn.XLOOKUP(Table2[[#This Row],[Car Number]],'Design Schedule'!$C$2:$C$121,'Design Schedule'!$B$2:$B$121)</f>
        <v>M</v>
      </c>
      <c r="N45" s="25" t="str">
        <f>_xlfn.XLOOKUP(Table2[[#This Row],[Car Number]],'Design Schedule'!$C$2:$C$121,'Design Schedule'!$A$2:$A$121)</f>
        <v>8:30AM</v>
      </c>
    </row>
    <row r="46" spans="1:14" x14ac:dyDescent="0.25">
      <c r="A46">
        <v>55</v>
      </c>
      <c r="B46" t="s">
        <v>94</v>
      </c>
      <c r="C46">
        <f>IF('Scales Input Table'!T46&gt;0,'Scales Input Table'!T46,"")</f>
        <v>166.92185599999999</v>
      </c>
      <c r="D46" s="7">
        <f>'Scales Input Table'!V46</f>
        <v>0.49598393574297189</v>
      </c>
      <c r="E46" s="7">
        <f>'Scales Input Table'!X46</f>
        <v>0.50401606425702816</v>
      </c>
      <c r="F46">
        <f>IF('Scales Input Table'!M46&gt;0,'Scales Input Table'!M46,"")</f>
        <v>1</v>
      </c>
      <c r="G46">
        <f>IF('Scales Input Table'!N46&gt;0,'Scales Input Table'!N46,"")</f>
        <v>450</v>
      </c>
      <c r="H46" t="str">
        <f>IF('Scales Input Table'!O46&gt;0,'Scales Input Table'!O46,"")</f>
        <v>No</v>
      </c>
      <c r="I46" t="str">
        <f>IF('Scales Input Table'!P46&gt;0,'Scales Input Table'!P46,"")</f>
        <v>Tube Frame</v>
      </c>
      <c r="J46" t="str">
        <f>IF('Scales Input Table'!Q46&gt;0,'Scales Input Table'!Q46,"")</f>
        <v>Full Package</v>
      </c>
      <c r="K46" t="str">
        <f>IF('Scales Input Table'!R46&gt;0,'Scales Input Table'!R46,"")</f>
        <v>10"</v>
      </c>
      <c r="L46">
        <f>IF('Scales Input Table'!S46&gt;0,'Scales Input Table'!S46,"")</f>
        <v>60</v>
      </c>
      <c r="M46" s="25" t="str">
        <f>_xlfn.XLOOKUP(Table2[[#This Row],[Car Number]],'Design Schedule'!$C$2:$C$121,'Design Schedule'!$B$2:$B$121)</f>
        <v>C</v>
      </c>
      <c r="N46" s="25" t="str">
        <f>_xlfn.XLOOKUP(Table2[[#This Row],[Car Number]],'Design Schedule'!$C$2:$C$121,'Design Schedule'!$A$2:$A$121)</f>
        <v>9:30AM</v>
      </c>
    </row>
    <row r="47" spans="1:14" x14ac:dyDescent="0.25">
      <c r="A47">
        <v>56</v>
      </c>
      <c r="B47" t="s">
        <v>76</v>
      </c>
      <c r="C47">
        <f>IF('Scales Input Table'!T47&gt;0,'Scales Input Table'!T47,"")</f>
        <v>212.28105600000001</v>
      </c>
      <c r="D47" s="7">
        <f>'Scales Input Table'!V47</f>
        <v>0.48561759729272419</v>
      </c>
      <c r="E47" s="7">
        <f>'Scales Input Table'!X47</f>
        <v>0.50761421319796951</v>
      </c>
      <c r="F47">
        <f>IF('Scales Input Table'!M47&gt;0,'Scales Input Table'!M47,"")</f>
        <v>4</v>
      </c>
      <c r="G47">
        <f>IF('Scales Input Table'!N47&gt;0,'Scales Input Table'!N47,"")</f>
        <v>599</v>
      </c>
      <c r="H47" t="str">
        <f>IF('Scales Input Table'!O47&gt;0,'Scales Input Table'!O47,"")</f>
        <v>No</v>
      </c>
      <c r="I47" t="str">
        <f>IF('Scales Input Table'!P47&gt;0,'Scales Input Table'!P47,"")</f>
        <v>Tube Frame</v>
      </c>
      <c r="J47" t="str">
        <f>IF('Scales Input Table'!Q47&gt;0,'Scales Input Table'!Q47,"")</f>
        <v>Full Package</v>
      </c>
      <c r="K47" t="str">
        <f>IF('Scales Input Table'!R47&gt;0,'Scales Input Table'!R47,"")</f>
        <v>10"</v>
      </c>
      <c r="L47">
        <f>IF('Scales Input Table'!S47&gt;0,'Scales Input Table'!S47,"")</f>
        <v>60.433070866141733</v>
      </c>
      <c r="M47" s="25" t="str">
        <f>_xlfn.XLOOKUP(Table2[[#This Row],[Car Number]],'Design Schedule'!$C$2:$C$121,'Design Schedule'!$B$2:$B$121)</f>
        <v>N</v>
      </c>
      <c r="N47" s="25" t="str">
        <f>_xlfn.XLOOKUP(Table2[[#This Row],[Car Number]],'Design Schedule'!$C$2:$C$121,'Design Schedule'!$A$2:$A$121)</f>
        <v>8:30AM</v>
      </c>
    </row>
    <row r="48" spans="1:14" x14ac:dyDescent="0.25">
      <c r="A48">
        <v>58</v>
      </c>
      <c r="B48" t="s">
        <v>167</v>
      </c>
      <c r="C48">
        <f>IF('Scales Input Table'!T48&gt;0,'Scales Input Table'!T48,"")</f>
        <v>176.90088</v>
      </c>
      <c r="D48" s="7">
        <f>'Scales Input Table'!V48</f>
        <v>0.54269449715370022</v>
      </c>
      <c r="E48" s="7">
        <f>'Scales Input Table'!X48</f>
        <v>0.49905123339658441</v>
      </c>
      <c r="F48">
        <f>IF('Scales Input Table'!M48&gt;0,'Scales Input Table'!M48,"")</f>
        <v>4</v>
      </c>
      <c r="G48">
        <f>IF('Scales Input Table'!N48&gt;0,'Scales Input Table'!N48,"")</f>
        <v>599</v>
      </c>
      <c r="H48" t="str">
        <f>IF('Scales Input Table'!O48&gt;0,'Scales Input Table'!O48,"")</f>
        <v>No</v>
      </c>
      <c r="I48" t="str">
        <f>IF('Scales Input Table'!P48&gt;0,'Scales Input Table'!P48,"")</f>
        <v>Tube Frame</v>
      </c>
      <c r="J48" t="str">
        <f>IF('Scales Input Table'!Q48&gt;0,'Scales Input Table'!Q48,"")</f>
        <v>None</v>
      </c>
      <c r="K48" t="str">
        <f>IF('Scales Input Table'!R48&gt;0,'Scales Input Table'!R48,"")</f>
        <v>10"</v>
      </c>
      <c r="L48">
        <f>IF('Scales Input Table'!S48&gt;0,'Scales Input Table'!S48,"")</f>
        <v>60.5</v>
      </c>
      <c r="M48" s="25" t="str">
        <f>_xlfn.XLOOKUP(Table2[[#This Row],[Car Number]],'Design Schedule'!$C$2:$C$121,'Design Schedule'!$B$2:$B$121)</f>
        <v>K</v>
      </c>
      <c r="N48" s="25" t="str">
        <f>_xlfn.XLOOKUP(Table2[[#This Row],[Car Number]],'Design Schedule'!$C$2:$C$121,'Design Schedule'!$A$2:$A$121)</f>
        <v>2:30PM</v>
      </c>
    </row>
    <row r="49" spans="1:14" x14ac:dyDescent="0.25">
      <c r="A49">
        <v>61</v>
      </c>
      <c r="B49" t="s">
        <v>168</v>
      </c>
      <c r="C49" t="str">
        <f>IF('Scales Input Table'!T49&gt;0,'Scales Input Table'!T49,"")</f>
        <v/>
      </c>
      <c r="D49" s="7" t="str">
        <f>'Scales Input Table'!V49</f>
        <v/>
      </c>
      <c r="E49" s="7" t="str">
        <f>'Scales Input Table'!X49</f>
        <v/>
      </c>
      <c r="F49" t="str">
        <f>IF('Scales Input Table'!M49&gt;0,'Scales Input Table'!M49,"")</f>
        <v/>
      </c>
      <c r="G49" t="str">
        <f>IF('Scales Input Table'!N49&gt;0,'Scales Input Table'!N49,"")</f>
        <v/>
      </c>
      <c r="H49" t="str">
        <f>IF('Scales Input Table'!O49&gt;0,'Scales Input Table'!O49,"")</f>
        <v/>
      </c>
      <c r="I49" t="str">
        <f>IF('Scales Input Table'!P49&gt;0,'Scales Input Table'!P49,"")</f>
        <v/>
      </c>
      <c r="J49" t="str">
        <f>IF('Scales Input Table'!Q49&gt;0,'Scales Input Table'!Q49,"")</f>
        <v/>
      </c>
      <c r="K49" t="str">
        <f>IF('Scales Input Table'!R49&gt;0,'Scales Input Table'!R49,"")</f>
        <v/>
      </c>
      <c r="L49" t="str">
        <f>IF('Scales Input Table'!S49&gt;0,'Scales Input Table'!S49,"")</f>
        <v/>
      </c>
      <c r="M49" s="25" t="str">
        <f>_xlfn.XLOOKUP(Table2[[#This Row],[Car Number]],'Design Schedule'!$C$2:$C$121,'Design Schedule'!$B$2:$B$121)</f>
        <v>M</v>
      </c>
      <c r="N49" s="25" t="str">
        <f>_xlfn.XLOOKUP(Table2[[#This Row],[Car Number]],'Design Schedule'!$C$2:$C$121,'Design Schedule'!$A$2:$A$121)</f>
        <v>1:30PM</v>
      </c>
    </row>
    <row r="50" spans="1:14" x14ac:dyDescent="0.25">
      <c r="A50">
        <v>62</v>
      </c>
      <c r="B50" t="s">
        <v>27</v>
      </c>
      <c r="C50">
        <f>IF('Scales Input Table'!T50&gt;0,'Scales Input Table'!T50,"")</f>
        <v>203.209216</v>
      </c>
      <c r="D50" s="7">
        <f>'Scales Input Table'!V50</f>
        <v>0.47658862876254182</v>
      </c>
      <c r="E50" s="7">
        <f>'Scales Input Table'!X50</f>
        <v>0.50501672240802675</v>
      </c>
      <c r="F50">
        <f>IF('Scales Input Table'!M50&gt;0,'Scales Input Table'!M50,"")</f>
        <v>4</v>
      </c>
      <c r="G50">
        <f>IF('Scales Input Table'!N50&gt;0,'Scales Input Table'!N50,"")</f>
        <v>600</v>
      </c>
      <c r="H50" t="str">
        <f>IF('Scales Input Table'!O50&gt;0,'Scales Input Table'!O50,"")</f>
        <v>No</v>
      </c>
      <c r="I50" t="str">
        <f>IF('Scales Input Table'!P50&gt;0,'Scales Input Table'!P50,"")</f>
        <v>Tube Frame</v>
      </c>
      <c r="J50" t="str">
        <f>IF('Scales Input Table'!Q50&gt;0,'Scales Input Table'!Q50,"")</f>
        <v>Full Package</v>
      </c>
      <c r="K50" t="str">
        <f>IF('Scales Input Table'!R50&gt;0,'Scales Input Table'!R50,"")</f>
        <v>10"</v>
      </c>
      <c r="L50">
        <f>IF('Scales Input Table'!S50&gt;0,'Scales Input Table'!S50,"")</f>
        <v>62.99212598425197</v>
      </c>
      <c r="M50" s="25" t="str">
        <f>_xlfn.XLOOKUP(Table2[[#This Row],[Car Number]],'Design Schedule'!$C$2:$C$121,'Design Schedule'!$B$2:$B$121)</f>
        <v>F</v>
      </c>
      <c r="N50" s="25" t="str">
        <f>_xlfn.XLOOKUP(Table2[[#This Row],[Car Number]],'Design Schedule'!$C$2:$C$121,'Design Schedule'!$A$2:$A$121)</f>
        <v>8:30AM</v>
      </c>
    </row>
    <row r="51" spans="1:14" x14ac:dyDescent="0.25">
      <c r="A51">
        <v>63</v>
      </c>
      <c r="B51" t="s">
        <v>50</v>
      </c>
      <c r="C51">
        <f>IF('Scales Input Table'!T51&gt;0,'Scales Input Table'!T51,"")</f>
        <v>195.04455999999999</v>
      </c>
      <c r="D51" s="7">
        <f>'Scales Input Table'!V51</f>
        <v>0.52027027027027029</v>
      </c>
      <c r="E51" s="7">
        <f>'Scales Input Table'!X51</f>
        <v>0.5033783783783784</v>
      </c>
      <c r="F51">
        <f>IF('Scales Input Table'!M51&gt;0,'Scales Input Table'!M51,"")</f>
        <v>4</v>
      </c>
      <c r="G51">
        <f>IF('Scales Input Table'!N51&gt;0,'Scales Input Table'!N51,"")</f>
        <v>599</v>
      </c>
      <c r="H51" t="str">
        <f>IF('Scales Input Table'!O51&gt;0,'Scales Input Table'!O51,"")</f>
        <v>No</v>
      </c>
      <c r="I51" t="str">
        <f>IF('Scales Input Table'!P51&gt;0,'Scales Input Table'!P51,"")</f>
        <v>Tube Frame</v>
      </c>
      <c r="J51" t="str">
        <f>IF('Scales Input Table'!Q51&gt;0,'Scales Input Table'!Q51,"")</f>
        <v>None</v>
      </c>
      <c r="K51" t="str">
        <f>IF('Scales Input Table'!R51&gt;0,'Scales Input Table'!R51,"")</f>
        <v>10"</v>
      </c>
      <c r="L51">
        <f>IF('Scales Input Table'!S51&gt;0,'Scales Input Table'!S51,"")</f>
        <v>60.5</v>
      </c>
      <c r="M51" s="25" t="str">
        <f>_xlfn.XLOOKUP(Table2[[#This Row],[Car Number]],'Design Schedule'!$C$2:$C$121,'Design Schedule'!$B$2:$B$121)</f>
        <v>C</v>
      </c>
      <c r="N51" s="25" t="str">
        <f>_xlfn.XLOOKUP(Table2[[#This Row],[Car Number]],'Design Schedule'!$C$2:$C$121,'Design Schedule'!$A$2:$A$121)</f>
        <v>3:30PM</v>
      </c>
    </row>
    <row r="52" spans="1:14" x14ac:dyDescent="0.25">
      <c r="A52">
        <v>64</v>
      </c>
      <c r="B52" t="s">
        <v>54</v>
      </c>
      <c r="C52">
        <f>IF('Scales Input Table'!T52&gt;0,'Scales Input Table'!T52,"")</f>
        <v>213.64183199999999</v>
      </c>
      <c r="D52" s="7">
        <f>'Scales Input Table'!V52</f>
        <v>0.48171701112877585</v>
      </c>
      <c r="E52" s="7">
        <f>'Scales Input Table'!X52</f>
        <v>0.50079491255961839</v>
      </c>
      <c r="F52">
        <f>IF('Scales Input Table'!M52&gt;0,'Scales Input Table'!M52,"")</f>
        <v>4</v>
      </c>
      <c r="G52">
        <f>IF('Scales Input Table'!N52&gt;0,'Scales Input Table'!N52,"")</f>
        <v>599</v>
      </c>
      <c r="H52" t="str">
        <f>IF('Scales Input Table'!O52&gt;0,'Scales Input Table'!O52,"")</f>
        <v>No</v>
      </c>
      <c r="I52" t="str">
        <f>IF('Scales Input Table'!P52&gt;0,'Scales Input Table'!P52,"")</f>
        <v>Hybrid</v>
      </c>
      <c r="J52" t="str">
        <f>IF('Scales Input Table'!Q52&gt;0,'Scales Input Table'!Q52,"")</f>
        <v>Full Package</v>
      </c>
      <c r="K52" t="str">
        <f>IF('Scales Input Table'!R52&gt;0,'Scales Input Table'!R52,"")</f>
        <v>10"</v>
      </c>
      <c r="L52">
        <f>IF('Scales Input Table'!S52&gt;0,'Scales Input Table'!S52,"")</f>
        <v>61</v>
      </c>
      <c r="M52" s="25" t="str">
        <f>_xlfn.XLOOKUP(Table2[[#This Row],[Car Number]],'Design Schedule'!$C$2:$C$121,'Design Schedule'!$B$2:$B$121)</f>
        <v>M</v>
      </c>
      <c r="N52" s="25" t="str">
        <f>_xlfn.XLOOKUP(Table2[[#This Row],[Car Number]],'Design Schedule'!$C$2:$C$121,'Design Schedule'!$A$2:$A$121)</f>
        <v>3:30PM</v>
      </c>
    </row>
    <row r="53" spans="1:14" x14ac:dyDescent="0.25">
      <c r="A53">
        <v>65</v>
      </c>
      <c r="B53" t="s">
        <v>38</v>
      </c>
      <c r="C53">
        <f>IF('Scales Input Table'!T53&gt;0,'Scales Input Table'!T53,"")</f>
        <v>151.04613599999999</v>
      </c>
      <c r="D53" s="7">
        <f>'Scales Input Table'!V53</f>
        <v>0.48897795591182364</v>
      </c>
      <c r="E53" s="7">
        <f>'Scales Input Table'!X53</f>
        <v>0.4969939879759519</v>
      </c>
      <c r="F53">
        <f>IF('Scales Input Table'!M53&gt;0,'Scales Input Table'!M53,"")</f>
        <v>1</v>
      </c>
      <c r="G53">
        <f>IF('Scales Input Table'!N53&gt;0,'Scales Input Table'!N53,"")</f>
        <v>450</v>
      </c>
      <c r="H53" t="str">
        <f>IF('Scales Input Table'!O53&gt;0,'Scales Input Table'!O53,"")</f>
        <v>No</v>
      </c>
      <c r="I53" t="str">
        <f>IF('Scales Input Table'!P53&gt;0,'Scales Input Table'!P53,"")</f>
        <v>Tube Frame</v>
      </c>
      <c r="J53" t="str">
        <f>IF('Scales Input Table'!Q53&gt;0,'Scales Input Table'!Q53,"")</f>
        <v>None</v>
      </c>
      <c r="K53" t="str">
        <f>IF('Scales Input Table'!R53&gt;0,'Scales Input Table'!R53,"")</f>
        <v>10"</v>
      </c>
      <c r="L53">
        <f>IF('Scales Input Table'!S53&gt;0,'Scales Input Table'!S53,"")</f>
        <v>61.023622047244096</v>
      </c>
      <c r="M53" s="25" t="str">
        <f>_xlfn.XLOOKUP(Table2[[#This Row],[Car Number]],'Design Schedule'!$C$2:$C$121,'Design Schedule'!$B$2:$B$121)</f>
        <v>B</v>
      </c>
      <c r="N53" s="25" t="str">
        <f>_xlfn.XLOOKUP(Table2[[#This Row],[Car Number]],'Design Schedule'!$C$2:$C$121,'Design Schedule'!$A$2:$A$121)</f>
        <v>10:30AM</v>
      </c>
    </row>
    <row r="54" spans="1:14" x14ac:dyDescent="0.25">
      <c r="A54">
        <v>66</v>
      </c>
      <c r="B54" t="s">
        <v>104</v>
      </c>
      <c r="C54">
        <f>IF('Scales Input Table'!T54&gt;0,'Scales Input Table'!T54,"")</f>
        <v>208.65232</v>
      </c>
      <c r="D54" s="7">
        <f>'Scales Input Table'!V54</f>
        <v>0.50314465408805031</v>
      </c>
      <c r="E54" s="7">
        <f>'Scales Input Table'!X54</f>
        <v>0.50314465408805031</v>
      </c>
      <c r="F54">
        <f>IF('Scales Input Table'!M54&gt;0,'Scales Input Table'!M54,"")</f>
        <v>4</v>
      </c>
      <c r="G54">
        <f>IF('Scales Input Table'!N54&gt;0,'Scales Input Table'!N54,"")</f>
        <v>600</v>
      </c>
      <c r="H54" t="str">
        <f>IF('Scales Input Table'!O54&gt;0,'Scales Input Table'!O54,"")</f>
        <v>No</v>
      </c>
      <c r="I54" t="str">
        <f>IF('Scales Input Table'!P54&gt;0,'Scales Input Table'!P54,"")</f>
        <v>Tube Frame</v>
      </c>
      <c r="J54" t="str">
        <f>IF('Scales Input Table'!Q54&gt;0,'Scales Input Table'!Q54,"")</f>
        <v>Wings Only</v>
      </c>
      <c r="K54" t="str">
        <f>IF('Scales Input Table'!R54&gt;0,'Scales Input Table'!R54,"")</f>
        <v>10"</v>
      </c>
      <c r="L54">
        <f>IF('Scales Input Table'!S54&gt;0,'Scales Input Table'!S54,"")</f>
        <v>61.417322834645674</v>
      </c>
      <c r="M54" s="25" t="str">
        <f>_xlfn.XLOOKUP(Table2[[#This Row],[Car Number]],'Design Schedule'!$C$2:$C$121,'Design Schedule'!$B$2:$B$121)</f>
        <v>K</v>
      </c>
      <c r="N54" s="25" t="str">
        <f>_xlfn.XLOOKUP(Table2[[#This Row],[Car Number]],'Design Schedule'!$C$2:$C$121,'Design Schedule'!$A$2:$A$121)</f>
        <v>9:30AM</v>
      </c>
    </row>
    <row r="55" spans="1:14" x14ac:dyDescent="0.25">
      <c r="A55">
        <v>67</v>
      </c>
      <c r="B55" t="s">
        <v>62</v>
      </c>
      <c r="C55">
        <f>IF('Scales Input Table'!T55&gt;0,'Scales Input Table'!T55,"")</f>
        <v>203.66280799999998</v>
      </c>
      <c r="D55" s="7">
        <f>'Scales Input Table'!V55</f>
        <v>0.50454545454545452</v>
      </c>
      <c r="E55" s="7">
        <f>'Scales Input Table'!X55</f>
        <v>0.5060606060606061</v>
      </c>
      <c r="F55">
        <f>IF('Scales Input Table'!M55&gt;0,'Scales Input Table'!M55,"")</f>
        <v>4</v>
      </c>
      <c r="G55">
        <f>IF('Scales Input Table'!N55&gt;0,'Scales Input Table'!N55,"")</f>
        <v>600</v>
      </c>
      <c r="H55" t="str">
        <f>IF('Scales Input Table'!O55&gt;0,'Scales Input Table'!O55,"")</f>
        <v>No</v>
      </c>
      <c r="I55" t="str">
        <f>IF('Scales Input Table'!P55&gt;0,'Scales Input Table'!P55,"")</f>
        <v>Tube Frame</v>
      </c>
      <c r="J55" t="str">
        <f>IF('Scales Input Table'!Q55&gt;0,'Scales Input Table'!Q55,"")</f>
        <v>None</v>
      </c>
      <c r="K55" t="str">
        <f>IF('Scales Input Table'!R55&gt;0,'Scales Input Table'!R55,"")</f>
        <v>10"</v>
      </c>
      <c r="L55">
        <f>IF('Scales Input Table'!S55&gt;0,'Scales Input Table'!S55,"")</f>
        <v>61.023622047244096</v>
      </c>
      <c r="M55" s="25" t="str">
        <f>_xlfn.XLOOKUP(Table2[[#This Row],[Car Number]],'Design Schedule'!$C$2:$C$121,'Design Schedule'!$B$2:$B$121)</f>
        <v>L</v>
      </c>
      <c r="N55" s="25" t="str">
        <f>_xlfn.XLOOKUP(Table2[[#This Row],[Car Number]],'Design Schedule'!$C$2:$C$121,'Design Schedule'!$A$2:$A$121)</f>
        <v>2:30PM</v>
      </c>
    </row>
    <row r="56" spans="1:14" x14ac:dyDescent="0.25">
      <c r="A56">
        <v>68</v>
      </c>
      <c r="B56" t="s">
        <v>51</v>
      </c>
      <c r="C56">
        <f>IF('Scales Input Table'!T56&gt;0,'Scales Input Table'!T56,"")</f>
        <v>186.426312</v>
      </c>
      <c r="D56" s="7">
        <f>'Scales Input Table'!V56</f>
        <v>0.48269896193771628</v>
      </c>
      <c r="E56" s="7">
        <f>'Scales Input Table'!X56</f>
        <v>0.49480968858131485</v>
      </c>
      <c r="F56">
        <f>IF('Scales Input Table'!M56&gt;0,'Scales Input Table'!M56,"")</f>
        <v>4</v>
      </c>
      <c r="G56">
        <f>IF('Scales Input Table'!N56&gt;0,'Scales Input Table'!N56,"")</f>
        <v>599</v>
      </c>
      <c r="H56" t="str">
        <f>IF('Scales Input Table'!O56&gt;0,'Scales Input Table'!O56,"")</f>
        <v>No</v>
      </c>
      <c r="I56" t="str">
        <f>IF('Scales Input Table'!P56&gt;0,'Scales Input Table'!P56,"")</f>
        <v>Hybrid</v>
      </c>
      <c r="J56" t="str">
        <f>IF('Scales Input Table'!Q56&gt;0,'Scales Input Table'!Q56,"")</f>
        <v>Full Package</v>
      </c>
      <c r="K56" t="str">
        <f>IF('Scales Input Table'!R56&gt;0,'Scales Input Table'!R56,"")</f>
        <v>10"</v>
      </c>
      <c r="L56">
        <f>IF('Scales Input Table'!S56&gt;0,'Scales Input Table'!S56,"")</f>
        <v>61</v>
      </c>
      <c r="M56" s="25" t="str">
        <f>_xlfn.XLOOKUP(Table2[[#This Row],[Car Number]],'Design Schedule'!$C$2:$C$121,'Design Schedule'!$B$2:$B$121)</f>
        <v>I</v>
      </c>
      <c r="N56" s="25" t="str">
        <f>_xlfn.XLOOKUP(Table2[[#This Row],[Car Number]],'Design Schedule'!$C$2:$C$121,'Design Schedule'!$A$2:$A$121)</f>
        <v>3:30PM</v>
      </c>
    </row>
    <row r="57" spans="1:14" x14ac:dyDescent="0.25">
      <c r="A57">
        <v>69</v>
      </c>
      <c r="B57" t="s">
        <v>69</v>
      </c>
      <c r="C57">
        <f>IF('Scales Input Table'!T57&gt;0,'Scales Input Table'!T57,"")</f>
        <v>204.56999199999998</v>
      </c>
      <c r="D57" s="7">
        <f>'Scales Input Table'!V57</f>
        <v>0.48809523809523808</v>
      </c>
      <c r="E57" s="7">
        <f>'Scales Input Table'!X57</f>
        <v>0.49829931972789115</v>
      </c>
      <c r="F57">
        <f>IF('Scales Input Table'!M57&gt;0,'Scales Input Table'!M57,"")</f>
        <v>4</v>
      </c>
      <c r="G57">
        <f>IF('Scales Input Table'!N57&gt;0,'Scales Input Table'!N57,"")</f>
        <v>599</v>
      </c>
      <c r="H57" t="str">
        <f>IF('Scales Input Table'!O57&gt;0,'Scales Input Table'!O57,"")</f>
        <v>No</v>
      </c>
      <c r="I57" t="str">
        <f>IF('Scales Input Table'!P57&gt;0,'Scales Input Table'!P57,"")</f>
        <v>Tube Frame</v>
      </c>
      <c r="J57" t="str">
        <f>IF('Scales Input Table'!Q57&gt;0,'Scales Input Table'!Q57,"")</f>
        <v>Tray Only</v>
      </c>
      <c r="K57" t="str">
        <f>IF('Scales Input Table'!R57&gt;0,'Scales Input Table'!R57,"")</f>
        <v>10"</v>
      </c>
      <c r="L57">
        <f>IF('Scales Input Table'!S57&gt;0,'Scales Input Table'!S57,"")</f>
        <v>62</v>
      </c>
      <c r="M57" s="25" t="str">
        <f>_xlfn.XLOOKUP(Table2[[#This Row],[Car Number]],'Design Schedule'!$C$2:$C$121,'Design Schedule'!$B$2:$B$121)</f>
        <v>M</v>
      </c>
      <c r="N57" s="25" t="str">
        <f>_xlfn.XLOOKUP(Table2[[#This Row],[Car Number]],'Design Schedule'!$C$2:$C$121,'Design Schedule'!$A$2:$A$121)</f>
        <v>10:30AM</v>
      </c>
    </row>
    <row r="58" spans="1:14" x14ac:dyDescent="0.25">
      <c r="A58">
        <v>70</v>
      </c>
      <c r="B58" t="s">
        <v>101</v>
      </c>
      <c r="C58">
        <f>IF('Scales Input Table'!T58&gt;0,'Scales Input Table'!T58,"")</f>
        <v>243.12531200000001</v>
      </c>
      <c r="D58" s="7">
        <f>'Scales Input Table'!V58</f>
        <v>0.48672566371681414</v>
      </c>
      <c r="E58" s="7">
        <f>'Scales Input Table'!X58</f>
        <v>0.50147492625368728</v>
      </c>
      <c r="F58">
        <f>IF('Scales Input Table'!M58&gt;0,'Scales Input Table'!M58,"")</f>
        <v>4</v>
      </c>
      <c r="G58">
        <f>IF('Scales Input Table'!N58&gt;0,'Scales Input Table'!N58,"")</f>
        <v>599</v>
      </c>
      <c r="H58" t="str">
        <f>IF('Scales Input Table'!O58&gt;0,'Scales Input Table'!O58,"")</f>
        <v>No</v>
      </c>
      <c r="I58" t="str">
        <f>IF('Scales Input Table'!P58&gt;0,'Scales Input Table'!P58,"")</f>
        <v>Tube Frame</v>
      </c>
      <c r="J58" t="str">
        <f>IF('Scales Input Table'!Q58&gt;0,'Scales Input Table'!Q58,"")</f>
        <v>None</v>
      </c>
      <c r="K58" t="str">
        <f>IF('Scales Input Table'!R58&gt;0,'Scales Input Table'!R58,"")</f>
        <v>10"</v>
      </c>
      <c r="L58">
        <f>IF('Scales Input Table'!S58&gt;0,'Scales Input Table'!S58,"")</f>
        <v>63</v>
      </c>
      <c r="M58" s="25" t="str">
        <f>_xlfn.XLOOKUP(Table2[[#This Row],[Car Number]],'Design Schedule'!$C$2:$C$121,'Design Schedule'!$B$2:$B$121)</f>
        <v>E</v>
      </c>
      <c r="N58" s="25" t="str">
        <f>_xlfn.XLOOKUP(Table2[[#This Row],[Car Number]],'Design Schedule'!$C$2:$C$121,'Design Schedule'!$A$2:$A$121)</f>
        <v>2:30PM</v>
      </c>
    </row>
    <row r="59" spans="1:14" x14ac:dyDescent="0.25">
      <c r="A59">
        <v>71</v>
      </c>
      <c r="B59" t="s">
        <v>169</v>
      </c>
      <c r="C59">
        <f>IF('Scales Input Table'!T59&gt;0,'Scales Input Table'!T59,"")</f>
        <v>218.63134399999998</v>
      </c>
      <c r="D59" s="7">
        <f>'Scales Input Table'!V59</f>
        <v>0.5103668261562998</v>
      </c>
      <c r="E59" s="7">
        <f>'Scales Input Table'!X59</f>
        <v>0.50877192982456143</v>
      </c>
      <c r="F59">
        <f>IF('Scales Input Table'!M59&gt;0,'Scales Input Table'!M59,"")</f>
        <v>4</v>
      </c>
      <c r="G59">
        <f>IF('Scales Input Table'!N59&gt;0,'Scales Input Table'!N59,"")</f>
        <v>599</v>
      </c>
      <c r="H59" t="str">
        <f>IF('Scales Input Table'!O59&gt;0,'Scales Input Table'!O59,"")</f>
        <v>No</v>
      </c>
      <c r="I59" t="str">
        <f>IF('Scales Input Table'!P59&gt;0,'Scales Input Table'!P59,"")</f>
        <v>Tube Frame</v>
      </c>
      <c r="J59" t="str">
        <f>IF('Scales Input Table'!Q59&gt;0,'Scales Input Table'!Q59,"")</f>
        <v>None</v>
      </c>
      <c r="K59" t="str">
        <f>IF('Scales Input Table'!R59&gt;0,'Scales Input Table'!R59,"")</f>
        <v>13"</v>
      </c>
      <c r="L59">
        <f>IF('Scales Input Table'!S59&gt;0,'Scales Input Table'!S59,"")</f>
        <v>60</v>
      </c>
      <c r="M59" s="25" t="str">
        <f>_xlfn.XLOOKUP(Table2[[#This Row],[Car Number]],'Design Schedule'!$C$2:$C$121,'Design Schedule'!$B$2:$B$121)</f>
        <v>J</v>
      </c>
      <c r="N59" s="25" t="str">
        <f>_xlfn.XLOOKUP(Table2[[#This Row],[Car Number]],'Design Schedule'!$C$2:$C$121,'Design Schedule'!$A$2:$A$121)</f>
        <v>4:30PM</v>
      </c>
    </row>
    <row r="60" spans="1:14" x14ac:dyDescent="0.25">
      <c r="A60">
        <v>72</v>
      </c>
      <c r="B60" t="s">
        <v>63</v>
      </c>
      <c r="C60">
        <f>IF('Scales Input Table'!T60&gt;0,'Scales Input Table'!T60,"")</f>
        <v>215.4562</v>
      </c>
      <c r="D60" s="7">
        <f>'Scales Input Table'!V60</f>
        <v>0.54354838709677422</v>
      </c>
      <c r="E60" s="7">
        <f>'Scales Input Table'!X60</f>
        <v>0.49516129032258066</v>
      </c>
      <c r="F60">
        <f>IF('Scales Input Table'!M60&gt;0,'Scales Input Table'!M60,"")</f>
        <v>1</v>
      </c>
      <c r="G60">
        <f>IF('Scales Input Table'!N60&gt;0,'Scales Input Table'!N60,"")</f>
        <v>478</v>
      </c>
      <c r="H60" t="str">
        <f>IF('Scales Input Table'!O60&gt;0,'Scales Input Table'!O60,"")</f>
        <v>No</v>
      </c>
      <c r="I60" t="str">
        <f>IF('Scales Input Table'!P60&gt;0,'Scales Input Table'!P60,"")</f>
        <v>Tube Frame</v>
      </c>
      <c r="J60" t="str">
        <f>IF('Scales Input Table'!Q60&gt;0,'Scales Input Table'!Q60,"")</f>
        <v>Tray Only</v>
      </c>
      <c r="K60" t="str">
        <f>IF('Scales Input Table'!R60&gt;0,'Scales Input Table'!R60,"")</f>
        <v>10"</v>
      </c>
      <c r="L60">
        <f>IF('Scales Input Table'!S60&gt;0,'Scales Input Table'!S60,"")</f>
        <v>60.5</v>
      </c>
      <c r="M60" s="25" t="str">
        <f>_xlfn.XLOOKUP(Table2[[#This Row],[Car Number]],'Design Schedule'!$C$2:$C$121,'Design Schedule'!$B$2:$B$121)</f>
        <v>E</v>
      </c>
      <c r="N60" s="25" t="str">
        <f>_xlfn.XLOOKUP(Table2[[#This Row],[Car Number]],'Design Schedule'!$C$2:$C$121,'Design Schedule'!$A$2:$A$121)</f>
        <v>12:30PM</v>
      </c>
    </row>
    <row r="61" spans="1:14" x14ac:dyDescent="0.25">
      <c r="A61">
        <v>73</v>
      </c>
      <c r="B61" t="s">
        <v>46</v>
      </c>
      <c r="C61">
        <f>IF('Scales Input Table'!T61&gt;0,'Scales Input Table'!T61,"")</f>
        <v>195.04455999999999</v>
      </c>
      <c r="D61" s="7">
        <f>'Scales Input Table'!V61</f>
        <v>0.47278911564625853</v>
      </c>
      <c r="E61" s="7">
        <f>'Scales Input Table'!X61</f>
        <v>0.48979591836734693</v>
      </c>
      <c r="F61">
        <f>IF('Scales Input Table'!M61&gt;0,'Scales Input Table'!M61,"")</f>
        <v>4</v>
      </c>
      <c r="G61">
        <f>IF('Scales Input Table'!N61&gt;0,'Scales Input Table'!N61,"")</f>
        <v>600</v>
      </c>
      <c r="H61" t="str">
        <f>IF('Scales Input Table'!O61&gt;0,'Scales Input Table'!O61,"")</f>
        <v>No</v>
      </c>
      <c r="I61" t="str">
        <f>IF('Scales Input Table'!P61&gt;0,'Scales Input Table'!P61,"")</f>
        <v>Tube Frame</v>
      </c>
      <c r="J61" t="str">
        <f>IF('Scales Input Table'!Q61&gt;0,'Scales Input Table'!Q61,"")</f>
        <v>Full Package</v>
      </c>
      <c r="K61" t="str">
        <f>IF('Scales Input Table'!R61&gt;0,'Scales Input Table'!R61,"")</f>
        <v>10"</v>
      </c>
      <c r="L61">
        <f>IF('Scales Input Table'!S61&gt;0,'Scales Input Table'!S61,"")</f>
        <v>60.5</v>
      </c>
      <c r="M61" s="25" t="str">
        <f>_xlfn.XLOOKUP(Table2[[#This Row],[Car Number]],'Design Schedule'!$C$2:$C$121,'Design Schedule'!$B$2:$B$121)</f>
        <v>N</v>
      </c>
      <c r="N61" s="25" t="str">
        <f>_xlfn.XLOOKUP(Table2[[#This Row],[Car Number]],'Design Schedule'!$C$2:$C$121,'Design Schedule'!$A$2:$A$121)</f>
        <v>9:30AM</v>
      </c>
    </row>
    <row r="62" spans="1:14" x14ac:dyDescent="0.25">
      <c r="A62">
        <v>74</v>
      </c>
      <c r="B62" t="s">
        <v>28</v>
      </c>
      <c r="C62">
        <f>IF('Scales Input Table'!T62&gt;0,'Scales Input Table'!T62,"")</f>
        <v>193.23019199999999</v>
      </c>
      <c r="D62" s="7">
        <f>'Scales Input Table'!V62</f>
        <v>0.47231270358306188</v>
      </c>
      <c r="E62" s="7">
        <f>'Scales Input Table'!X62</f>
        <v>0.49674267100977199</v>
      </c>
      <c r="F62">
        <f>IF('Scales Input Table'!M62&gt;0,'Scales Input Table'!M62,"")</f>
        <v>1</v>
      </c>
      <c r="G62">
        <f>IF('Scales Input Table'!N62&gt;0,'Scales Input Table'!N62,"")</f>
        <v>450</v>
      </c>
      <c r="H62" t="str">
        <f>IF('Scales Input Table'!O62&gt;0,'Scales Input Table'!O62,"")</f>
        <v>Yes, Cooler</v>
      </c>
      <c r="I62" t="str">
        <f>IF('Scales Input Table'!P62&gt;0,'Scales Input Table'!P62,"")</f>
        <v>Monocoque</v>
      </c>
      <c r="J62" t="str">
        <f>IF('Scales Input Table'!Q62&gt;0,'Scales Input Table'!Q62,"")</f>
        <v>Full Package</v>
      </c>
      <c r="K62" t="str">
        <f>IF('Scales Input Table'!R62&gt;0,'Scales Input Table'!R62,"")</f>
        <v>10"</v>
      </c>
      <c r="L62">
        <f>IF('Scales Input Table'!S62&gt;0,'Scales Input Table'!S62,"")</f>
        <v>62</v>
      </c>
      <c r="M62" s="25" t="str">
        <f>_xlfn.XLOOKUP(Table2[[#This Row],[Car Number]],'Design Schedule'!$C$2:$C$121,'Design Schedule'!$B$2:$B$121)</f>
        <v>A</v>
      </c>
      <c r="N62" s="25" t="str">
        <f>_xlfn.XLOOKUP(Table2[[#This Row],[Car Number]],'Design Schedule'!$C$2:$C$121,'Design Schedule'!$A$2:$A$121)</f>
        <v>8:30AM</v>
      </c>
    </row>
    <row r="63" spans="1:14" x14ac:dyDescent="0.25">
      <c r="A63">
        <v>75</v>
      </c>
      <c r="B63" t="s">
        <v>170</v>
      </c>
      <c r="C63">
        <f>IF('Scales Input Table'!T63&gt;0,'Scales Input Table'!T63,"")</f>
        <v>222.713672</v>
      </c>
      <c r="D63" s="7">
        <f>'Scales Input Table'!V63</f>
        <v>0.51330203442879496</v>
      </c>
      <c r="E63" s="7">
        <f>'Scales Input Table'!X63</f>
        <v>0.49765258215962443</v>
      </c>
      <c r="F63">
        <f>IF('Scales Input Table'!M63&gt;0,'Scales Input Table'!M63,"")</f>
        <v>4</v>
      </c>
      <c r="G63">
        <f>IF('Scales Input Table'!N63&gt;0,'Scales Input Table'!N63,"")</f>
        <v>599</v>
      </c>
      <c r="H63" t="str">
        <f>IF('Scales Input Table'!O63&gt;0,'Scales Input Table'!O63,"")</f>
        <v>No</v>
      </c>
      <c r="I63" t="str">
        <f>IF('Scales Input Table'!P63&gt;0,'Scales Input Table'!P63,"")</f>
        <v>Tube Frame</v>
      </c>
      <c r="J63" t="str">
        <f>IF('Scales Input Table'!Q63&gt;0,'Scales Input Table'!Q63,"")</f>
        <v>Tray Only</v>
      </c>
      <c r="K63" t="str">
        <f>IF('Scales Input Table'!R63&gt;0,'Scales Input Table'!R63,"")</f>
        <v>13"</v>
      </c>
      <c r="L63">
        <f>IF('Scales Input Table'!S63&gt;0,'Scales Input Table'!S63,"")</f>
        <v>62</v>
      </c>
      <c r="M63" s="25" t="str">
        <f>_xlfn.XLOOKUP(Table2[[#This Row],[Car Number]],'Design Schedule'!$C$2:$C$121,'Design Schedule'!$B$2:$B$121)</f>
        <v>H</v>
      </c>
      <c r="N63" s="25" t="str">
        <f>_xlfn.XLOOKUP(Table2[[#This Row],[Car Number]],'Design Schedule'!$C$2:$C$121,'Design Schedule'!$A$2:$A$121)</f>
        <v>4:30PM</v>
      </c>
    </row>
    <row r="64" spans="1:14" x14ac:dyDescent="0.25">
      <c r="A64">
        <v>76</v>
      </c>
      <c r="B64" t="s">
        <v>171</v>
      </c>
      <c r="C64">
        <f>IF('Scales Input Table'!T64&gt;0,'Scales Input Table'!T64,"")</f>
        <v>271.70160800000002</v>
      </c>
      <c r="D64" s="7">
        <f>'Scales Input Table'!V64</f>
        <v>0.52774018944519618</v>
      </c>
      <c r="E64" s="7">
        <f>'Scales Input Table'!X64</f>
        <v>0.49932341001353181</v>
      </c>
      <c r="F64">
        <f>IF('Scales Input Table'!M64&gt;0,'Scales Input Table'!M64,"")</f>
        <v>4</v>
      </c>
      <c r="G64">
        <f>IF('Scales Input Table'!N64&gt;0,'Scales Input Table'!N64,"")</f>
        <v>599</v>
      </c>
      <c r="H64" t="str">
        <f>IF('Scales Input Table'!O64&gt;0,'Scales Input Table'!O64,"")</f>
        <v>No</v>
      </c>
      <c r="I64" t="str">
        <f>IF('Scales Input Table'!P64&gt;0,'Scales Input Table'!P64,"")</f>
        <v>Tube Frame</v>
      </c>
      <c r="J64" t="str">
        <f>IF('Scales Input Table'!Q64&gt;0,'Scales Input Table'!Q64,"")</f>
        <v>None</v>
      </c>
      <c r="K64" t="str">
        <f>IF('Scales Input Table'!R64&gt;0,'Scales Input Table'!R64,"")</f>
        <v>13"</v>
      </c>
      <c r="L64">
        <f>IF('Scales Input Table'!S64&gt;0,'Scales Input Table'!S64,"")</f>
        <v>69</v>
      </c>
      <c r="M64" s="25" t="str">
        <f>_xlfn.XLOOKUP(Table2[[#This Row],[Car Number]],'Design Schedule'!$C$2:$C$121,'Design Schedule'!$B$2:$B$121)</f>
        <v>L</v>
      </c>
      <c r="N64" s="25" t="str">
        <f>_xlfn.XLOOKUP(Table2[[#This Row],[Car Number]],'Design Schedule'!$C$2:$C$121,'Design Schedule'!$A$2:$A$121)</f>
        <v>4:30PM</v>
      </c>
    </row>
    <row r="65" spans="1:14" x14ac:dyDescent="0.25">
      <c r="A65">
        <v>77</v>
      </c>
      <c r="B65" t="s">
        <v>92</v>
      </c>
      <c r="C65">
        <f>IF('Scales Input Table'!T65&gt;0,'Scales Input Table'!T65,"")</f>
        <v>214.54901599999999</v>
      </c>
      <c r="D65" s="7">
        <f>'Scales Input Table'!V65</f>
        <v>0.52323838080959517</v>
      </c>
      <c r="E65" s="7">
        <f>'Scales Input Table'!X65</f>
        <v>0.49775112443778113</v>
      </c>
      <c r="F65">
        <f>IF('Scales Input Table'!M65&gt;0,'Scales Input Table'!M65,"")</f>
        <v>4</v>
      </c>
      <c r="G65">
        <f>IF('Scales Input Table'!N65&gt;0,'Scales Input Table'!N65,"")</f>
        <v>599</v>
      </c>
      <c r="H65" t="str">
        <f>IF('Scales Input Table'!O65&gt;0,'Scales Input Table'!O65,"")</f>
        <v>No</v>
      </c>
      <c r="I65" t="str">
        <f>IF('Scales Input Table'!P65&gt;0,'Scales Input Table'!P65,"")</f>
        <v>Tube Frame</v>
      </c>
      <c r="J65" t="str">
        <f>IF('Scales Input Table'!Q65&gt;0,'Scales Input Table'!Q65,"")</f>
        <v>Full Package</v>
      </c>
      <c r="K65" t="str">
        <f>IF('Scales Input Table'!R65&gt;0,'Scales Input Table'!R65,"")</f>
        <v>13"</v>
      </c>
      <c r="L65">
        <f>IF('Scales Input Table'!S65&gt;0,'Scales Input Table'!S65,"")</f>
        <v>60.984251968503941</v>
      </c>
      <c r="M65" s="25" t="str">
        <f>_xlfn.XLOOKUP(Table2[[#This Row],[Car Number]],'Design Schedule'!$C$2:$C$121,'Design Schedule'!$B$2:$B$121)</f>
        <v>J</v>
      </c>
      <c r="N65" s="25" t="str">
        <f>_xlfn.XLOOKUP(Table2[[#This Row],[Car Number]],'Design Schedule'!$C$2:$C$121,'Design Schedule'!$A$2:$A$121)</f>
        <v>3:30PM</v>
      </c>
    </row>
    <row r="66" spans="1:14" x14ac:dyDescent="0.25">
      <c r="A66">
        <v>78</v>
      </c>
      <c r="B66" t="s">
        <v>105</v>
      </c>
      <c r="C66">
        <f>IF('Scales Input Table'!T66&gt;0,'Scales Input Table'!T66,"")</f>
        <v>205.023584</v>
      </c>
      <c r="D66" s="7">
        <f>'Scales Input Table'!V66</f>
        <v>0.5057851239669422</v>
      </c>
      <c r="E66" s="7">
        <f>'Scales Input Table'!X66</f>
        <v>0.49917355371900829</v>
      </c>
      <c r="F66">
        <f>IF('Scales Input Table'!M66&gt;0,'Scales Input Table'!M66,"")</f>
        <v>4</v>
      </c>
      <c r="G66">
        <f>IF('Scales Input Table'!N66&gt;0,'Scales Input Table'!N66,"")</f>
        <v>600</v>
      </c>
      <c r="H66" t="str">
        <f>IF('Scales Input Table'!O66&gt;0,'Scales Input Table'!O66,"")</f>
        <v>No</v>
      </c>
      <c r="I66" t="str">
        <f>IF('Scales Input Table'!P66&gt;0,'Scales Input Table'!P66,"")</f>
        <v>Tube Frame</v>
      </c>
      <c r="J66" t="str">
        <f>IF('Scales Input Table'!Q66&gt;0,'Scales Input Table'!Q66,"")</f>
        <v>Tray Only</v>
      </c>
      <c r="K66" t="str">
        <f>IF('Scales Input Table'!R66&gt;0,'Scales Input Table'!R66,"")</f>
        <v>13"</v>
      </c>
      <c r="L66">
        <f>IF('Scales Input Table'!S66&gt;0,'Scales Input Table'!S66,"")</f>
        <v>64</v>
      </c>
      <c r="M66" s="25" t="str">
        <f>_xlfn.XLOOKUP(Table2[[#This Row],[Car Number]],'Design Schedule'!$C$2:$C$121,'Design Schedule'!$B$2:$B$121)</f>
        <v>F</v>
      </c>
      <c r="N66" s="25" t="str">
        <f>_xlfn.XLOOKUP(Table2[[#This Row],[Car Number]],'Design Schedule'!$C$2:$C$121,'Design Schedule'!$A$2:$A$121)</f>
        <v>4:30PM</v>
      </c>
    </row>
    <row r="67" spans="1:14" x14ac:dyDescent="0.25">
      <c r="A67">
        <v>79</v>
      </c>
      <c r="B67" t="s">
        <v>61</v>
      </c>
      <c r="C67">
        <f>IF('Scales Input Table'!T67&gt;0,'Scales Input Table'!T67,"")</f>
        <v>198.21970400000001</v>
      </c>
      <c r="D67" s="7">
        <f>'Scales Input Table'!V67</f>
        <v>0.49375000000000002</v>
      </c>
      <c r="E67" s="7">
        <f>'Scales Input Table'!X67</f>
        <v>0.49687500000000001</v>
      </c>
      <c r="F67">
        <f>IF('Scales Input Table'!M67&gt;0,'Scales Input Table'!M67,"")</f>
        <v>4</v>
      </c>
      <c r="G67">
        <f>IF('Scales Input Table'!N67&gt;0,'Scales Input Table'!N67,"")</f>
        <v>600</v>
      </c>
      <c r="H67" t="str">
        <f>IF('Scales Input Table'!O67&gt;0,'Scales Input Table'!O67,"")</f>
        <v>No</v>
      </c>
      <c r="I67" t="str">
        <f>IF('Scales Input Table'!P67&gt;0,'Scales Input Table'!P67,"")</f>
        <v>Tube Frame</v>
      </c>
      <c r="J67" t="str">
        <f>IF('Scales Input Table'!Q67&gt;0,'Scales Input Table'!Q67,"")</f>
        <v>None</v>
      </c>
      <c r="K67" t="str">
        <f>IF('Scales Input Table'!R67&gt;0,'Scales Input Table'!R67,"")</f>
        <v>10"</v>
      </c>
      <c r="L67">
        <f>IF('Scales Input Table'!S67&gt;0,'Scales Input Table'!S67,"")</f>
        <v>60</v>
      </c>
      <c r="M67" s="25" t="str">
        <f>_xlfn.XLOOKUP(Table2[[#This Row],[Car Number]],'Design Schedule'!$C$2:$C$121,'Design Schedule'!$B$2:$B$121)</f>
        <v>H</v>
      </c>
      <c r="N67" s="25" t="str">
        <f>_xlfn.XLOOKUP(Table2[[#This Row],[Car Number]],'Design Schedule'!$C$2:$C$121,'Design Schedule'!$A$2:$A$121)</f>
        <v>1:30PM</v>
      </c>
    </row>
    <row r="68" spans="1:14" x14ac:dyDescent="0.25">
      <c r="A68">
        <v>80</v>
      </c>
      <c r="B68" t="s">
        <v>60</v>
      </c>
      <c r="C68">
        <f>IF('Scales Input Table'!T68&gt;0,'Scales Input Table'!T68,"")</f>
        <v>171.00418400000001</v>
      </c>
      <c r="D68" s="7">
        <f>'Scales Input Table'!V68</f>
        <v>0.48027444253859347</v>
      </c>
      <c r="E68" s="7">
        <f>'Scales Input Table'!X68</f>
        <v>0.50085763293310459</v>
      </c>
      <c r="F68">
        <f>IF('Scales Input Table'!M68&gt;0,'Scales Input Table'!M68,"")</f>
        <v>1</v>
      </c>
      <c r="G68">
        <f>IF('Scales Input Table'!N68&gt;0,'Scales Input Table'!N68,"")</f>
        <v>450</v>
      </c>
      <c r="H68" t="str">
        <f>IF('Scales Input Table'!O68&gt;0,'Scales Input Table'!O68,"")</f>
        <v>No</v>
      </c>
      <c r="I68" t="str">
        <f>IF('Scales Input Table'!P68&gt;0,'Scales Input Table'!P68,"")</f>
        <v>Hybrid</v>
      </c>
      <c r="J68" t="str">
        <f>IF('Scales Input Table'!Q68&gt;0,'Scales Input Table'!Q68,"")</f>
        <v>Full Package</v>
      </c>
      <c r="K68" t="str">
        <f>IF('Scales Input Table'!R68&gt;0,'Scales Input Table'!R68,"")</f>
        <v>10"</v>
      </c>
      <c r="L68">
        <f>IF('Scales Input Table'!S68&gt;0,'Scales Input Table'!S68,"")</f>
        <v>60.5</v>
      </c>
      <c r="M68" s="25" t="str">
        <f>_xlfn.XLOOKUP(Table2[[#This Row],[Car Number]],'Design Schedule'!$C$2:$C$121,'Design Schedule'!$B$2:$B$121)</f>
        <v>B</v>
      </c>
      <c r="N68" s="25" t="str">
        <f>_xlfn.XLOOKUP(Table2[[#This Row],[Car Number]],'Design Schedule'!$C$2:$C$121,'Design Schedule'!$A$2:$A$121)</f>
        <v>12:30PM</v>
      </c>
    </row>
    <row r="69" spans="1:14" x14ac:dyDescent="0.25">
      <c r="A69">
        <v>81</v>
      </c>
      <c r="B69" t="s">
        <v>95</v>
      </c>
      <c r="C69">
        <f>IF('Scales Input Table'!T69&gt;0,'Scales Input Table'!T69,"")</f>
        <v>207.745136</v>
      </c>
      <c r="D69" s="7">
        <f>'Scales Input Table'!V69</f>
        <v>0.4943820224719101</v>
      </c>
      <c r="E69" s="7">
        <f>'Scales Input Table'!X69</f>
        <v>0.49759229534510435</v>
      </c>
      <c r="F69">
        <f>IF('Scales Input Table'!M69&gt;0,'Scales Input Table'!M69,"")</f>
        <v>4</v>
      </c>
      <c r="G69">
        <f>IF('Scales Input Table'!N69&gt;0,'Scales Input Table'!N69,"")</f>
        <v>600</v>
      </c>
      <c r="H69" t="str">
        <f>IF('Scales Input Table'!O69&gt;0,'Scales Input Table'!O69,"")</f>
        <v>No</v>
      </c>
      <c r="I69" t="str">
        <f>IF('Scales Input Table'!P69&gt;0,'Scales Input Table'!P69,"")</f>
        <v>Tube Frame</v>
      </c>
      <c r="J69" t="str">
        <f>IF('Scales Input Table'!Q69&gt;0,'Scales Input Table'!Q69,"")</f>
        <v>Wings Only</v>
      </c>
      <c r="K69" t="str">
        <f>IF('Scales Input Table'!R69&gt;0,'Scales Input Table'!R69,"")</f>
        <v>10"</v>
      </c>
      <c r="L69">
        <f>IF('Scales Input Table'!S69&gt;0,'Scales Input Table'!S69,"")</f>
        <v>60</v>
      </c>
      <c r="M69" s="25" t="str">
        <f>_xlfn.XLOOKUP(Table2[[#This Row],[Car Number]],'Design Schedule'!$C$2:$C$121,'Design Schedule'!$B$2:$B$121)</f>
        <v>E</v>
      </c>
      <c r="N69" s="25" t="str">
        <f>_xlfn.XLOOKUP(Table2[[#This Row],[Car Number]],'Design Schedule'!$C$2:$C$121,'Design Schedule'!$A$2:$A$121)</f>
        <v>1:30PM</v>
      </c>
    </row>
    <row r="70" spans="1:14" x14ac:dyDescent="0.25">
      <c r="A70">
        <v>82</v>
      </c>
      <c r="B70" t="s">
        <v>84</v>
      </c>
      <c r="C70">
        <f>IF('Scales Input Table'!T70&gt;0,'Scales Input Table'!T70,"")</f>
        <v>203.66280799999998</v>
      </c>
      <c r="D70" s="7">
        <f>'Scales Input Table'!V70</f>
        <v>0.47746243739565941</v>
      </c>
      <c r="E70" s="7">
        <f>'Scales Input Table'!X70</f>
        <v>0.5025041736227045</v>
      </c>
      <c r="F70">
        <f>IF('Scales Input Table'!M70&gt;0,'Scales Input Table'!M70,"")</f>
        <v>4</v>
      </c>
      <c r="G70">
        <f>IF('Scales Input Table'!N70&gt;0,'Scales Input Table'!N70,"")</f>
        <v>599</v>
      </c>
      <c r="H70" t="str">
        <f>IF('Scales Input Table'!O70&gt;0,'Scales Input Table'!O70,"")</f>
        <v>No</v>
      </c>
      <c r="I70" t="str">
        <f>IF('Scales Input Table'!P70&gt;0,'Scales Input Table'!P70,"")</f>
        <v>Tube Frame</v>
      </c>
      <c r="J70" t="str">
        <f>IF('Scales Input Table'!Q70&gt;0,'Scales Input Table'!Q70,"")</f>
        <v>None</v>
      </c>
      <c r="K70" t="str">
        <f>IF('Scales Input Table'!R70&gt;0,'Scales Input Table'!R70,"")</f>
        <v>13"</v>
      </c>
      <c r="L70">
        <f>IF('Scales Input Table'!S70&gt;0,'Scales Input Table'!S70,"")</f>
        <v>62</v>
      </c>
      <c r="M70" s="25" t="str">
        <f>_xlfn.XLOOKUP(Table2[[#This Row],[Car Number]],'Design Schedule'!$C$2:$C$121,'Design Schedule'!$B$2:$B$121)</f>
        <v>A</v>
      </c>
      <c r="N70" s="25" t="str">
        <f>_xlfn.XLOOKUP(Table2[[#This Row],[Car Number]],'Design Schedule'!$C$2:$C$121,'Design Schedule'!$A$2:$A$121)</f>
        <v>3:30PM</v>
      </c>
    </row>
    <row r="71" spans="1:14" x14ac:dyDescent="0.25">
      <c r="A71">
        <v>83</v>
      </c>
      <c r="B71" t="s">
        <v>172</v>
      </c>
      <c r="C71">
        <f>IF('Scales Input Table'!T71&gt;0,'Scales Input Table'!T71,"")</f>
        <v>256.27947999999998</v>
      </c>
      <c r="D71" s="7">
        <f>'Scales Input Table'!V71</f>
        <v>0.49445983379501385</v>
      </c>
      <c r="E71" s="7">
        <f>'Scales Input Table'!X71</f>
        <v>0.50277008310249305</v>
      </c>
      <c r="F71">
        <f>IF('Scales Input Table'!M71&gt;0,'Scales Input Table'!M71,"")</f>
        <v>4</v>
      </c>
      <c r="G71">
        <f>IF('Scales Input Table'!N71&gt;0,'Scales Input Table'!N71,"")</f>
        <v>599</v>
      </c>
      <c r="H71" t="str">
        <f>IF('Scales Input Table'!O71&gt;0,'Scales Input Table'!O71,"")</f>
        <v>No</v>
      </c>
      <c r="I71" t="str">
        <f>IF('Scales Input Table'!P71&gt;0,'Scales Input Table'!P71,"")</f>
        <v>Tube Frame</v>
      </c>
      <c r="J71" t="str">
        <f>IF('Scales Input Table'!Q71&gt;0,'Scales Input Table'!Q71,"")</f>
        <v>Tray Only</v>
      </c>
      <c r="K71" t="str">
        <f>IF('Scales Input Table'!R71&gt;0,'Scales Input Table'!R71,"")</f>
        <v>13"</v>
      </c>
      <c r="L71">
        <f>IF('Scales Input Table'!S71&gt;0,'Scales Input Table'!S71,"")</f>
        <v>70</v>
      </c>
      <c r="M71" s="25" t="str">
        <f>_xlfn.XLOOKUP(Table2[[#This Row],[Car Number]],'Design Schedule'!$C$2:$C$121,'Design Schedule'!$B$2:$B$121)</f>
        <v>G</v>
      </c>
      <c r="N71" s="25" t="str">
        <f>_xlfn.XLOOKUP(Table2[[#This Row],[Car Number]],'Design Schedule'!$C$2:$C$121,'Design Schedule'!$A$2:$A$121)</f>
        <v>12:30PM</v>
      </c>
    </row>
    <row r="72" spans="1:14" x14ac:dyDescent="0.25">
      <c r="A72">
        <v>84</v>
      </c>
      <c r="B72" t="s">
        <v>39</v>
      </c>
      <c r="C72">
        <f>IF('Scales Input Table'!T72&gt;0,'Scales Input Table'!T72,"")</f>
        <v>165.10748799999999</v>
      </c>
      <c r="D72" s="7">
        <f>'Scales Input Table'!V72</f>
        <v>0.50954198473282442</v>
      </c>
      <c r="E72" s="7">
        <f>'Scales Input Table'!X72</f>
        <v>0.49618320610687022</v>
      </c>
      <c r="F72">
        <f>IF('Scales Input Table'!M72&gt;0,'Scales Input Table'!M72,"")</f>
        <v>1</v>
      </c>
      <c r="G72">
        <f>IF('Scales Input Table'!N72&gt;0,'Scales Input Table'!N72,"")</f>
        <v>450</v>
      </c>
      <c r="H72" t="str">
        <f>IF('Scales Input Table'!O72&gt;0,'Scales Input Table'!O72,"")</f>
        <v>No</v>
      </c>
      <c r="I72" t="str">
        <f>IF('Scales Input Table'!P72&gt;0,'Scales Input Table'!P72,"")</f>
        <v>Hybrid</v>
      </c>
      <c r="J72" t="str">
        <f>IF('Scales Input Table'!Q72&gt;0,'Scales Input Table'!Q72,"")</f>
        <v>Wings Only</v>
      </c>
      <c r="K72" t="str">
        <f>IF('Scales Input Table'!R72&gt;0,'Scales Input Table'!R72,"")</f>
        <v>10"</v>
      </c>
      <c r="L72">
        <f>IF('Scales Input Table'!S72&gt;0,'Scales Input Table'!S72,"")</f>
        <v>60.5</v>
      </c>
      <c r="M72" s="25" t="str">
        <f>_xlfn.XLOOKUP(Table2[[#This Row],[Car Number]],'Design Schedule'!$C$2:$C$121,'Design Schedule'!$B$2:$B$121)</f>
        <v>E</v>
      </c>
      <c r="N72" s="25" t="str">
        <f>_xlfn.XLOOKUP(Table2[[#This Row],[Car Number]],'Design Schedule'!$C$2:$C$121,'Design Schedule'!$A$2:$A$121)</f>
        <v>3:30PM</v>
      </c>
    </row>
    <row r="73" spans="1:14" x14ac:dyDescent="0.25">
      <c r="A73">
        <v>85</v>
      </c>
      <c r="B73" t="s">
        <v>173</v>
      </c>
      <c r="C73">
        <f>IF('Scales Input Table'!T73&gt;0,'Scales Input Table'!T73,"")</f>
        <v>188.24068</v>
      </c>
      <c r="D73" s="7">
        <f>'Scales Input Table'!V73</f>
        <v>0.46516007532956688</v>
      </c>
      <c r="E73" s="7">
        <f>'Scales Input Table'!X73</f>
        <v>0.50847457627118642</v>
      </c>
      <c r="F73">
        <f>IF('Scales Input Table'!M73&gt;0,'Scales Input Table'!M73,"")</f>
        <v>4</v>
      </c>
      <c r="G73">
        <f>IF('Scales Input Table'!N73&gt;0,'Scales Input Table'!N73,"")</f>
        <v>600</v>
      </c>
      <c r="H73" t="str">
        <f>IF('Scales Input Table'!O73&gt;0,'Scales Input Table'!O73,"")</f>
        <v>No</v>
      </c>
      <c r="I73" t="str">
        <f>IF('Scales Input Table'!P73&gt;0,'Scales Input Table'!P73,"")</f>
        <v>Hybrid</v>
      </c>
      <c r="J73" t="str">
        <f>IF('Scales Input Table'!Q73&gt;0,'Scales Input Table'!Q73,"")</f>
        <v>Full Package</v>
      </c>
      <c r="K73" t="str">
        <f>IF('Scales Input Table'!R73&gt;0,'Scales Input Table'!R73,"")</f>
        <v>10"</v>
      </c>
      <c r="L73">
        <f>IF('Scales Input Table'!S73&gt;0,'Scales Input Table'!S73,"")</f>
        <v>60.039370078740163</v>
      </c>
      <c r="M73" s="25" t="str">
        <f>_xlfn.XLOOKUP(Table2[[#This Row],[Car Number]],'Design Schedule'!$C$2:$C$121,'Design Schedule'!$B$2:$B$121)</f>
        <v>J</v>
      </c>
      <c r="N73" s="25" t="str">
        <f>_xlfn.XLOOKUP(Table2[[#This Row],[Car Number]],'Design Schedule'!$C$2:$C$121,'Design Schedule'!$A$2:$A$121)</f>
        <v>9:30AM</v>
      </c>
    </row>
    <row r="74" spans="1:14" x14ac:dyDescent="0.25">
      <c r="A74">
        <v>86</v>
      </c>
      <c r="B74" t="s">
        <v>72</v>
      </c>
      <c r="C74">
        <f>IF('Scales Input Table'!T74&gt;0,'Scales Input Table'!T74,"")</f>
        <v>197.31252000000001</v>
      </c>
      <c r="D74" s="7">
        <f>'Scales Input Table'!V74</f>
        <v>0.47359454855195909</v>
      </c>
      <c r="E74" s="7">
        <f>'Scales Input Table'!X74</f>
        <v>0.49914821124361158</v>
      </c>
      <c r="F74">
        <f>IF('Scales Input Table'!M74&gt;0,'Scales Input Table'!M74,"")</f>
        <v>4</v>
      </c>
      <c r="G74">
        <f>IF('Scales Input Table'!N74&gt;0,'Scales Input Table'!N74,"")</f>
        <v>600</v>
      </c>
      <c r="H74" t="str">
        <f>IF('Scales Input Table'!O74&gt;0,'Scales Input Table'!O74,"")</f>
        <v>No</v>
      </c>
      <c r="I74" t="str">
        <f>IF('Scales Input Table'!P74&gt;0,'Scales Input Table'!P74,"")</f>
        <v>Tube Frame</v>
      </c>
      <c r="J74" t="str">
        <f>IF('Scales Input Table'!Q74&gt;0,'Scales Input Table'!Q74,"")</f>
        <v>None</v>
      </c>
      <c r="K74" t="str">
        <f>IF('Scales Input Table'!R74&gt;0,'Scales Input Table'!R74,"")</f>
        <v>10"</v>
      </c>
      <c r="L74">
        <f>IF('Scales Input Table'!S74&gt;0,'Scales Input Table'!S74,"")</f>
        <v>61.25</v>
      </c>
      <c r="M74" s="25" t="str">
        <f>_xlfn.XLOOKUP(Table2[[#This Row],[Car Number]],'Design Schedule'!$C$2:$C$121,'Design Schedule'!$B$2:$B$121)</f>
        <v>D</v>
      </c>
      <c r="N74" s="25" t="str">
        <f>_xlfn.XLOOKUP(Table2[[#This Row],[Car Number]],'Design Schedule'!$C$2:$C$121,'Design Schedule'!$A$2:$A$121)</f>
        <v>10:30AM</v>
      </c>
    </row>
    <row r="75" spans="1:14" x14ac:dyDescent="0.25">
      <c r="A75">
        <v>88</v>
      </c>
      <c r="B75" t="s">
        <v>103</v>
      </c>
      <c r="C75">
        <f>IF('Scales Input Table'!T75&gt;0,'Scales Input Table'!T75,"")</f>
        <v>200.03407200000001</v>
      </c>
      <c r="D75" s="7">
        <f>'Scales Input Table'!V75</f>
        <v>0.47572815533980584</v>
      </c>
      <c r="E75" s="7">
        <f>'Scales Input Table'!X75</f>
        <v>0.5</v>
      </c>
      <c r="F75">
        <f>IF('Scales Input Table'!M75&gt;0,'Scales Input Table'!M75,"")</f>
        <v>4</v>
      </c>
      <c r="G75">
        <f>IF('Scales Input Table'!N75&gt;0,'Scales Input Table'!N75,"")</f>
        <v>599</v>
      </c>
      <c r="H75" t="str">
        <f>IF('Scales Input Table'!O75&gt;0,'Scales Input Table'!O75,"")</f>
        <v>No</v>
      </c>
      <c r="I75" t="str">
        <f>IF('Scales Input Table'!P75&gt;0,'Scales Input Table'!P75,"")</f>
        <v>Monocoque</v>
      </c>
      <c r="J75" t="str">
        <f>IF('Scales Input Table'!Q75&gt;0,'Scales Input Table'!Q75,"")</f>
        <v>Full Package</v>
      </c>
      <c r="K75" t="str">
        <f>IF('Scales Input Table'!R75&gt;0,'Scales Input Table'!R75,"")</f>
        <v>10"</v>
      </c>
      <c r="L75">
        <f>IF('Scales Input Table'!S75&gt;0,'Scales Input Table'!S75,"")</f>
        <v>63.5</v>
      </c>
      <c r="M75" s="25" t="str">
        <f>_xlfn.XLOOKUP(Table2[[#This Row],[Car Number]],'Design Schedule'!$C$2:$C$121,'Design Schedule'!$B$2:$B$121)</f>
        <v>C</v>
      </c>
      <c r="N75" s="25" t="str">
        <f>_xlfn.XLOOKUP(Table2[[#This Row],[Car Number]],'Design Schedule'!$C$2:$C$121,'Design Schedule'!$A$2:$A$121)</f>
        <v>8:30AM</v>
      </c>
    </row>
    <row r="76" spans="1:14" x14ac:dyDescent="0.25">
      <c r="A76">
        <v>89</v>
      </c>
      <c r="B76" t="s">
        <v>37</v>
      </c>
      <c r="C76">
        <f>IF('Scales Input Table'!T76&gt;0,'Scales Input Table'!T76,"")</f>
        <v>156.48924</v>
      </c>
      <c r="D76" s="7">
        <f>'Scales Input Table'!V76</f>
        <v>0.5</v>
      </c>
      <c r="E76" s="7">
        <f>'Scales Input Table'!X76</f>
        <v>0.50194552529182879</v>
      </c>
      <c r="F76">
        <f>IF('Scales Input Table'!M76&gt;0,'Scales Input Table'!M76,"")</f>
        <v>2</v>
      </c>
      <c r="G76">
        <f>IF('Scales Input Table'!N76&gt;0,'Scales Input Table'!N76,"")</f>
        <v>600</v>
      </c>
      <c r="H76" t="str">
        <f>IF('Scales Input Table'!O76&gt;0,'Scales Input Table'!O76,"")</f>
        <v>No</v>
      </c>
      <c r="I76" t="str">
        <f>IF('Scales Input Table'!P76&gt;0,'Scales Input Table'!P76,"")</f>
        <v>Tube Frame</v>
      </c>
      <c r="J76" t="str">
        <f>IF('Scales Input Table'!Q76&gt;0,'Scales Input Table'!Q76,"")</f>
        <v>None</v>
      </c>
      <c r="K76" t="str">
        <f>IF('Scales Input Table'!R76&gt;0,'Scales Input Table'!R76,"")</f>
        <v>10"</v>
      </c>
      <c r="L76">
        <f>IF('Scales Input Table'!S76&gt;0,'Scales Input Table'!S76,"")</f>
        <v>68</v>
      </c>
      <c r="M76" s="25" t="str">
        <f>_xlfn.XLOOKUP(Table2[[#This Row],[Car Number]],'Design Schedule'!$C$2:$C$121,'Design Schedule'!$B$2:$B$121)</f>
        <v>A</v>
      </c>
      <c r="N76" s="25" t="str">
        <f>_xlfn.XLOOKUP(Table2[[#This Row],[Car Number]],'Design Schedule'!$C$2:$C$121,'Design Schedule'!$A$2:$A$121)</f>
        <v>2:30PM</v>
      </c>
    </row>
    <row r="77" spans="1:14" x14ac:dyDescent="0.25">
      <c r="A77">
        <v>90</v>
      </c>
      <c r="B77" t="s">
        <v>174</v>
      </c>
      <c r="C77">
        <f>IF('Scales Input Table'!T77&gt;0,'Scales Input Table'!T77,"")</f>
        <v>181.89039199999999</v>
      </c>
      <c r="D77" s="7">
        <f>'Scales Input Table'!V77</f>
        <v>0.48006644518272423</v>
      </c>
      <c r="E77" s="7">
        <f>'Scales Input Table'!X77</f>
        <v>0.49667774086378735</v>
      </c>
      <c r="F77">
        <f>IF('Scales Input Table'!M77&gt;0,'Scales Input Table'!M77,"")</f>
        <v>4</v>
      </c>
      <c r="G77">
        <f>IF('Scales Input Table'!N77&gt;0,'Scales Input Table'!N77,"")</f>
        <v>599</v>
      </c>
      <c r="H77" t="str">
        <f>IF('Scales Input Table'!O77&gt;0,'Scales Input Table'!O77,"")</f>
        <v>No</v>
      </c>
      <c r="I77" t="str">
        <f>IF('Scales Input Table'!P77&gt;0,'Scales Input Table'!P77,"")</f>
        <v>Hybrid</v>
      </c>
      <c r="J77" t="str">
        <f>IF('Scales Input Table'!Q77&gt;0,'Scales Input Table'!Q77,"")</f>
        <v>Wings Only</v>
      </c>
      <c r="K77" t="str">
        <f>IF('Scales Input Table'!R77&gt;0,'Scales Input Table'!R77,"")</f>
        <v>10"</v>
      </c>
      <c r="L77">
        <f>IF('Scales Input Table'!S77&gt;0,'Scales Input Table'!S77,"")</f>
        <v>61.220472440944889</v>
      </c>
      <c r="M77" s="25" t="str">
        <f>_xlfn.XLOOKUP(Table2[[#This Row],[Car Number]],'Design Schedule'!$C$2:$C$121,'Design Schedule'!$B$2:$B$121)</f>
        <v>I</v>
      </c>
      <c r="N77" s="25" t="str">
        <f>_xlfn.XLOOKUP(Table2[[#This Row],[Car Number]],'Design Schedule'!$C$2:$C$121,'Design Schedule'!$A$2:$A$121)</f>
        <v>8:30AM</v>
      </c>
    </row>
    <row r="78" spans="1:14" x14ac:dyDescent="0.25">
      <c r="A78">
        <v>91</v>
      </c>
      <c r="B78" t="s">
        <v>57</v>
      </c>
      <c r="C78">
        <f>IF('Scales Input Table'!T78&gt;0,'Scales Input Table'!T78,"")</f>
        <v>217.270568</v>
      </c>
      <c r="D78" s="7">
        <f>'Scales Input Table'!V78</f>
        <v>0.48717948717948717</v>
      </c>
      <c r="E78" s="7">
        <f>'Scales Input Table'!X78</f>
        <v>0.49679487179487181</v>
      </c>
      <c r="F78">
        <f>IF('Scales Input Table'!M78&gt;0,'Scales Input Table'!M78,"")</f>
        <v>4</v>
      </c>
      <c r="G78">
        <f>IF('Scales Input Table'!N78&gt;0,'Scales Input Table'!N78,"")</f>
        <v>600</v>
      </c>
      <c r="H78" t="str">
        <f>IF('Scales Input Table'!O78&gt;0,'Scales Input Table'!O78,"")</f>
        <v>No</v>
      </c>
      <c r="I78" t="str">
        <f>IF('Scales Input Table'!P78&gt;0,'Scales Input Table'!P78,"")</f>
        <v>Tube Frame</v>
      </c>
      <c r="J78" t="str">
        <f>IF('Scales Input Table'!Q78&gt;0,'Scales Input Table'!Q78,"")</f>
        <v>Full Package</v>
      </c>
      <c r="K78" t="str">
        <f>IF('Scales Input Table'!R78&gt;0,'Scales Input Table'!R78,"")</f>
        <v>10"</v>
      </c>
      <c r="L78">
        <f>IF('Scales Input Table'!S78&gt;0,'Scales Input Table'!S78,"")</f>
        <v>60.5</v>
      </c>
      <c r="M78" s="25" t="str">
        <f>_xlfn.XLOOKUP(Table2[[#This Row],[Car Number]],'Design Schedule'!$C$2:$C$121,'Design Schedule'!$B$2:$B$121)</f>
        <v>A</v>
      </c>
      <c r="N78" s="25" t="str">
        <f>_xlfn.XLOOKUP(Table2[[#This Row],[Car Number]],'Design Schedule'!$C$2:$C$121,'Design Schedule'!$A$2:$A$121)</f>
        <v>12:30PM</v>
      </c>
    </row>
    <row r="79" spans="1:14" x14ac:dyDescent="0.25">
      <c r="A79">
        <v>92</v>
      </c>
      <c r="B79" t="s">
        <v>100</v>
      </c>
      <c r="C79">
        <f>IF('Scales Input Table'!T79&gt;0,'Scales Input Table'!T79,"")</f>
        <v>211.37387200000001</v>
      </c>
      <c r="D79" s="7">
        <f>'Scales Input Table'!V79</f>
        <v>0.48055987558320373</v>
      </c>
      <c r="E79" s="7">
        <f>'Scales Input Table'!X79</f>
        <v>0.49611197511664074</v>
      </c>
      <c r="F79">
        <f>IF('Scales Input Table'!M79&gt;0,'Scales Input Table'!M79,"")</f>
        <v>4</v>
      </c>
      <c r="G79">
        <f>IF('Scales Input Table'!N79&gt;0,'Scales Input Table'!N79,"")</f>
        <v>600</v>
      </c>
      <c r="H79" t="str">
        <f>IF('Scales Input Table'!O79&gt;0,'Scales Input Table'!O79,"")</f>
        <v>No</v>
      </c>
      <c r="I79" t="str">
        <f>IF('Scales Input Table'!P79&gt;0,'Scales Input Table'!P79,"")</f>
        <v>Tube Frame</v>
      </c>
      <c r="J79" t="str">
        <f>IF('Scales Input Table'!Q79&gt;0,'Scales Input Table'!Q79,"")</f>
        <v>Wings Only</v>
      </c>
      <c r="K79" t="str">
        <f>IF('Scales Input Table'!R79&gt;0,'Scales Input Table'!R79,"")</f>
        <v>10"</v>
      </c>
      <c r="L79">
        <f>IF('Scales Input Table'!S79&gt;0,'Scales Input Table'!S79,"")</f>
        <v>61</v>
      </c>
      <c r="M79" s="25" t="str">
        <f>_xlfn.XLOOKUP(Table2[[#This Row],[Car Number]],'Design Schedule'!$C$2:$C$121,'Design Schedule'!$B$2:$B$121)</f>
        <v>D</v>
      </c>
      <c r="N79" s="25" t="str">
        <f>_xlfn.XLOOKUP(Table2[[#This Row],[Car Number]],'Design Schedule'!$C$2:$C$121,'Design Schedule'!$A$2:$A$121)</f>
        <v>9:30AM</v>
      </c>
    </row>
    <row r="80" spans="1:14" x14ac:dyDescent="0.25">
      <c r="A80">
        <v>93</v>
      </c>
      <c r="B80" t="s">
        <v>175</v>
      </c>
      <c r="C80">
        <f>IF('Scales Input Table'!T80&gt;0,'Scales Input Table'!T80,"")</f>
        <v>210.92027999999999</v>
      </c>
      <c r="D80" s="7">
        <f>'Scales Input Table'!V80</f>
        <v>0.48117839607201307</v>
      </c>
      <c r="E80" s="7">
        <f>'Scales Input Table'!X80</f>
        <v>0.49754500818330605</v>
      </c>
      <c r="F80">
        <f>IF('Scales Input Table'!M80&gt;0,'Scales Input Table'!M80,"")</f>
        <v>4</v>
      </c>
      <c r="G80">
        <f>IF('Scales Input Table'!N80&gt;0,'Scales Input Table'!N80,"")</f>
        <v>599</v>
      </c>
      <c r="H80" t="str">
        <f>IF('Scales Input Table'!O80&gt;0,'Scales Input Table'!O80,"")</f>
        <v>No</v>
      </c>
      <c r="I80" t="str">
        <f>IF('Scales Input Table'!P80&gt;0,'Scales Input Table'!P80,"")</f>
        <v>Tube Frame</v>
      </c>
      <c r="J80" t="str">
        <f>IF('Scales Input Table'!Q80&gt;0,'Scales Input Table'!Q80,"")</f>
        <v>Wings Only</v>
      </c>
      <c r="K80" t="str">
        <f>IF('Scales Input Table'!R80&gt;0,'Scales Input Table'!R80,"")</f>
        <v>13"</v>
      </c>
      <c r="L80">
        <f>IF('Scales Input Table'!S80&gt;0,'Scales Input Table'!S80,"")</f>
        <v>62</v>
      </c>
      <c r="M80" s="25" t="str">
        <f>_xlfn.XLOOKUP(Table2[[#This Row],[Car Number]],'Design Schedule'!$C$2:$C$121,'Design Schedule'!$B$2:$B$121)</f>
        <v>C</v>
      </c>
      <c r="N80" s="25" t="str">
        <f>_xlfn.XLOOKUP(Table2[[#This Row],[Car Number]],'Design Schedule'!$C$2:$C$121,'Design Schedule'!$A$2:$A$121)</f>
        <v>12:30PM</v>
      </c>
    </row>
    <row r="81" spans="1:14" x14ac:dyDescent="0.25">
      <c r="A81">
        <v>94</v>
      </c>
      <c r="B81" t="s">
        <v>91</v>
      </c>
      <c r="C81">
        <f>IF('Scales Input Table'!T81&gt;0,'Scales Input Table'!T81,"")</f>
        <v>204.56999199999998</v>
      </c>
      <c r="D81" s="7">
        <f>'Scales Input Table'!V81</f>
        <v>0.4878836833602585</v>
      </c>
      <c r="E81" s="7">
        <f>'Scales Input Table'!X81</f>
        <v>0.50726978998384487</v>
      </c>
      <c r="F81">
        <f>IF('Scales Input Table'!M81&gt;0,'Scales Input Table'!M81,"")</f>
        <v>4</v>
      </c>
      <c r="G81">
        <f>IF('Scales Input Table'!N81&gt;0,'Scales Input Table'!N81,"")</f>
        <v>599</v>
      </c>
      <c r="H81" t="str">
        <f>IF('Scales Input Table'!O81&gt;0,'Scales Input Table'!O81,"")</f>
        <v>No</v>
      </c>
      <c r="I81" t="str">
        <f>IF('Scales Input Table'!P81&gt;0,'Scales Input Table'!P81,"")</f>
        <v>Tube Frame</v>
      </c>
      <c r="J81" t="str">
        <f>IF('Scales Input Table'!Q81&gt;0,'Scales Input Table'!Q81,"")</f>
        <v>None</v>
      </c>
      <c r="K81" t="str">
        <f>IF('Scales Input Table'!R81&gt;0,'Scales Input Table'!R81,"")</f>
        <v>10"</v>
      </c>
      <c r="L81">
        <f>IF('Scales Input Table'!S81&gt;0,'Scales Input Table'!S81,"")</f>
        <v>60</v>
      </c>
      <c r="M81" s="25" t="str">
        <f>_xlfn.XLOOKUP(Table2[[#This Row],[Car Number]],'Design Schedule'!$C$2:$C$121,'Design Schedule'!$B$2:$B$121)</f>
        <v>H</v>
      </c>
      <c r="N81" s="25" t="str">
        <f>_xlfn.XLOOKUP(Table2[[#This Row],[Car Number]],'Design Schedule'!$C$2:$C$121,'Design Schedule'!$A$2:$A$121)</f>
        <v>3:30PM</v>
      </c>
    </row>
    <row r="82" spans="1:14" x14ac:dyDescent="0.25">
      <c r="A82">
        <v>95</v>
      </c>
      <c r="B82" t="s">
        <v>176</v>
      </c>
      <c r="C82" t="str">
        <f>IF('Scales Input Table'!T82&gt;0,'Scales Input Table'!T82,"")</f>
        <v/>
      </c>
      <c r="D82" s="7" t="str">
        <f>'Scales Input Table'!V82</f>
        <v/>
      </c>
      <c r="E82" s="7" t="str">
        <f>'Scales Input Table'!X82</f>
        <v/>
      </c>
      <c r="F82" t="str">
        <f>IF('Scales Input Table'!M82&gt;0,'Scales Input Table'!M82,"")</f>
        <v/>
      </c>
      <c r="G82" t="str">
        <f>IF('Scales Input Table'!N82&gt;0,'Scales Input Table'!N82,"")</f>
        <v/>
      </c>
      <c r="H82" t="str">
        <f>IF('Scales Input Table'!O82&gt;0,'Scales Input Table'!O82,"")</f>
        <v/>
      </c>
      <c r="I82" t="str">
        <f>IF('Scales Input Table'!P82&gt;0,'Scales Input Table'!P82,"")</f>
        <v/>
      </c>
      <c r="J82" t="str">
        <f>IF('Scales Input Table'!Q82&gt;0,'Scales Input Table'!Q82,"")</f>
        <v/>
      </c>
      <c r="K82" t="str">
        <f>IF('Scales Input Table'!R82&gt;0,'Scales Input Table'!R82,"")</f>
        <v/>
      </c>
      <c r="L82" t="str">
        <f>IF('Scales Input Table'!S82&gt;0,'Scales Input Table'!S82,"")</f>
        <v/>
      </c>
      <c r="M82" s="25" t="str">
        <f>_xlfn.XLOOKUP(Table2[[#This Row],[Car Number]],'Design Schedule'!$C$2:$C$121,'Design Schedule'!$B$2:$B$121)</f>
        <v>N</v>
      </c>
      <c r="N82" s="25" t="str">
        <f>_xlfn.XLOOKUP(Table2[[#This Row],[Car Number]],'Design Schedule'!$C$2:$C$121,'Design Schedule'!$A$2:$A$121)</f>
        <v>3:30PM</v>
      </c>
    </row>
    <row r="83" spans="1:14" x14ac:dyDescent="0.25">
      <c r="A83">
        <v>97</v>
      </c>
      <c r="B83" t="s">
        <v>82</v>
      </c>
      <c r="C83">
        <f>IF('Scales Input Table'!T83&gt;0,'Scales Input Table'!T83,"")</f>
        <v>251.74356</v>
      </c>
      <c r="D83" s="7">
        <f>'Scales Input Table'!V83</f>
        <v>0.51884422110552764</v>
      </c>
      <c r="E83" s="7">
        <f>'Scales Input Table'!X83</f>
        <v>0.5</v>
      </c>
      <c r="F83">
        <f>IF('Scales Input Table'!M83&gt;0,'Scales Input Table'!M83,"")</f>
        <v>4</v>
      </c>
      <c r="G83">
        <f>IF('Scales Input Table'!N83&gt;0,'Scales Input Table'!N83,"")</f>
        <v>650</v>
      </c>
      <c r="H83" t="str">
        <f>IF('Scales Input Table'!O83&gt;0,'Scales Input Table'!O83,"")</f>
        <v>No</v>
      </c>
      <c r="I83" t="str">
        <f>IF('Scales Input Table'!P83&gt;0,'Scales Input Table'!P83,"")</f>
        <v>Tube Frame</v>
      </c>
      <c r="J83" t="str">
        <f>IF('Scales Input Table'!Q83&gt;0,'Scales Input Table'!Q83,"")</f>
        <v>None</v>
      </c>
      <c r="K83" t="str">
        <f>IF('Scales Input Table'!R83&gt;0,'Scales Input Table'!R83,"")</f>
        <v>13"</v>
      </c>
      <c r="L83">
        <f>IF('Scales Input Table'!S83&gt;0,'Scales Input Table'!S83,"")</f>
        <v>62.5</v>
      </c>
      <c r="M83" s="25" t="str">
        <f>_xlfn.XLOOKUP(Table2[[#This Row],[Car Number]],'Design Schedule'!$C$2:$C$121,'Design Schedule'!$B$2:$B$121)</f>
        <v>G</v>
      </c>
      <c r="N83" s="25" t="str">
        <f>_xlfn.XLOOKUP(Table2[[#This Row],[Car Number]],'Design Schedule'!$C$2:$C$121,'Design Schedule'!$A$2:$A$121)</f>
        <v>4:30PM</v>
      </c>
    </row>
    <row r="84" spans="1:14" x14ac:dyDescent="0.25">
      <c r="A84">
        <v>98</v>
      </c>
      <c r="B84" t="s">
        <v>177</v>
      </c>
      <c r="C84">
        <f>IF('Scales Input Table'!T84&gt;0,'Scales Input Table'!T84,"")</f>
        <v>254.465112</v>
      </c>
      <c r="D84" s="7">
        <f>'Scales Input Table'!V84</f>
        <v>0.53553299492385786</v>
      </c>
      <c r="E84" s="7">
        <f>'Scales Input Table'!X84</f>
        <v>0.50380710659898476</v>
      </c>
      <c r="F84">
        <f>IF('Scales Input Table'!M84&gt;0,'Scales Input Table'!M84,"")</f>
        <v>4</v>
      </c>
      <c r="G84">
        <f>IF('Scales Input Table'!N84&gt;0,'Scales Input Table'!N84,"")</f>
        <v>599</v>
      </c>
      <c r="H84" t="str">
        <f>IF('Scales Input Table'!O84&gt;0,'Scales Input Table'!O84,"")</f>
        <v>No</v>
      </c>
      <c r="I84" t="str">
        <f>IF('Scales Input Table'!P84&gt;0,'Scales Input Table'!P84,"")</f>
        <v>Tube Frame</v>
      </c>
      <c r="J84" t="str">
        <f>IF('Scales Input Table'!Q84&gt;0,'Scales Input Table'!Q84,"")</f>
        <v>Wings Only</v>
      </c>
      <c r="K84" t="str">
        <f>IF('Scales Input Table'!R84&gt;0,'Scales Input Table'!R84,"")</f>
        <v>13"</v>
      </c>
      <c r="L84">
        <f>IF('Scales Input Table'!S84&gt;0,'Scales Input Table'!S84,"")</f>
        <v>61.023622047244096</v>
      </c>
      <c r="M84" s="25" t="str">
        <f>_xlfn.XLOOKUP(Table2[[#This Row],[Car Number]],'Design Schedule'!$C$2:$C$121,'Design Schedule'!$B$2:$B$121)</f>
        <v>B</v>
      </c>
      <c r="N84" s="25" t="str">
        <f>_xlfn.XLOOKUP(Table2[[#This Row],[Car Number]],'Design Schedule'!$C$2:$C$121,'Design Schedule'!$A$2:$A$121)</f>
        <v>4:30PM</v>
      </c>
    </row>
    <row r="85" spans="1:14" x14ac:dyDescent="0.25">
      <c r="A85">
        <v>99</v>
      </c>
      <c r="B85" t="s">
        <v>41</v>
      </c>
      <c r="C85">
        <f>IF('Scales Input Table'!T85&gt;0,'Scales Input Table'!T85,"")</f>
        <v>182.79757599999999</v>
      </c>
      <c r="D85" s="7">
        <f>'Scales Input Table'!V85</f>
        <v>0.54892205638474301</v>
      </c>
      <c r="E85" s="7">
        <f>'Scales Input Table'!X85</f>
        <v>0.49585406301824214</v>
      </c>
      <c r="F85">
        <f>IF('Scales Input Table'!M85&gt;0,'Scales Input Table'!M85,"")</f>
        <v>2</v>
      </c>
      <c r="G85">
        <f>IF('Scales Input Table'!N85&gt;0,'Scales Input Table'!N85,"")</f>
        <v>450</v>
      </c>
      <c r="H85" t="str">
        <f>IF('Scales Input Table'!O85&gt;0,'Scales Input Table'!O85,"")</f>
        <v>No</v>
      </c>
      <c r="I85" t="str">
        <f>IF('Scales Input Table'!P85&gt;0,'Scales Input Table'!P85,"")</f>
        <v>Tube Frame</v>
      </c>
      <c r="J85" t="str">
        <f>IF('Scales Input Table'!Q85&gt;0,'Scales Input Table'!Q85,"")</f>
        <v>None</v>
      </c>
      <c r="K85" t="str">
        <f>IF('Scales Input Table'!R85&gt;0,'Scales Input Table'!R85,"")</f>
        <v>10"</v>
      </c>
      <c r="L85">
        <f>IF('Scales Input Table'!S85&gt;0,'Scales Input Table'!S85,"")</f>
        <v>63</v>
      </c>
      <c r="M85" s="25" t="str">
        <f>_xlfn.XLOOKUP(Table2[[#This Row],[Car Number]],'Design Schedule'!$C$2:$C$121,'Design Schedule'!$B$2:$B$121)</f>
        <v>K</v>
      </c>
      <c r="N85" s="25" t="str">
        <f>_xlfn.XLOOKUP(Table2[[#This Row],[Car Number]],'Design Schedule'!$C$2:$C$121,'Design Schedule'!$A$2:$A$121)</f>
        <v>12:30PM</v>
      </c>
    </row>
    <row r="86" spans="1:14" x14ac:dyDescent="0.25">
      <c r="A86">
        <v>100</v>
      </c>
      <c r="B86" t="s">
        <v>59</v>
      </c>
      <c r="C86">
        <f>IF('Scales Input Table'!T86&gt;0,'Scales Input Table'!T86,"")</f>
        <v>219.084936</v>
      </c>
      <c r="D86" s="7">
        <f>'Scales Input Table'!V86</f>
        <v>0.52106084243369732</v>
      </c>
      <c r="E86" s="7">
        <f>'Scales Input Table'!X86</f>
        <v>0.49765990639625585</v>
      </c>
      <c r="F86">
        <f>IF('Scales Input Table'!M86&gt;0,'Scales Input Table'!M86,"")</f>
        <v>4</v>
      </c>
      <c r="G86">
        <f>IF('Scales Input Table'!N86&gt;0,'Scales Input Table'!N86,"")</f>
        <v>636</v>
      </c>
      <c r="H86" t="str">
        <f>IF('Scales Input Table'!O86&gt;0,'Scales Input Table'!O86,"")</f>
        <v>No</v>
      </c>
      <c r="I86" t="str">
        <f>IF('Scales Input Table'!P86&gt;0,'Scales Input Table'!P86,"")</f>
        <v>Tube Frame</v>
      </c>
      <c r="J86" t="str">
        <f>IF('Scales Input Table'!Q86&gt;0,'Scales Input Table'!Q86,"")</f>
        <v>None</v>
      </c>
      <c r="K86" t="str">
        <f>IF('Scales Input Table'!R86&gt;0,'Scales Input Table'!R86,"")</f>
        <v>10"</v>
      </c>
      <c r="L86">
        <f>IF('Scales Input Table'!S86&gt;0,'Scales Input Table'!S86,"")</f>
        <v>65.039370078740163</v>
      </c>
      <c r="M86" s="25" t="str">
        <f>_xlfn.XLOOKUP(Table2[[#This Row],[Car Number]],'Design Schedule'!$C$2:$C$121,'Design Schedule'!$B$2:$B$121)</f>
        <v>D</v>
      </c>
      <c r="N86" s="25" t="str">
        <f>_xlfn.XLOOKUP(Table2[[#This Row],[Car Number]],'Design Schedule'!$C$2:$C$121,'Design Schedule'!$A$2:$A$121)</f>
        <v>4:30PM</v>
      </c>
    </row>
    <row r="87" spans="1:14" x14ac:dyDescent="0.25">
      <c r="A87">
        <v>101</v>
      </c>
      <c r="B87" t="s">
        <v>93</v>
      </c>
      <c r="C87">
        <f>IF('Scales Input Table'!T87&gt;0,'Scales Input Table'!T87,"")</f>
        <v>210.01309599999999</v>
      </c>
      <c r="D87" s="7">
        <f>'Scales Input Table'!V87</f>
        <v>0.49333333333333335</v>
      </c>
      <c r="E87" s="7">
        <f>'Scales Input Table'!X87</f>
        <v>0.50666666666666671</v>
      </c>
      <c r="F87">
        <f>IF('Scales Input Table'!M87&gt;0,'Scales Input Table'!M87,"")</f>
        <v>2</v>
      </c>
      <c r="G87">
        <f>IF('Scales Input Table'!N87&gt;0,'Scales Input Table'!N87,"")</f>
        <v>500</v>
      </c>
      <c r="H87" t="str">
        <f>IF('Scales Input Table'!O87&gt;0,'Scales Input Table'!O87,"")</f>
        <v>Yes, No Cooler</v>
      </c>
      <c r="I87" t="str">
        <f>IF('Scales Input Table'!P87&gt;0,'Scales Input Table'!P87,"")</f>
        <v>Tube Frame</v>
      </c>
      <c r="J87" t="str">
        <f>IF('Scales Input Table'!Q87&gt;0,'Scales Input Table'!Q87,"")</f>
        <v>Tray Only</v>
      </c>
      <c r="K87" t="str">
        <f>IF('Scales Input Table'!R87&gt;0,'Scales Input Table'!R87,"")</f>
        <v>10"</v>
      </c>
      <c r="L87">
        <f>IF('Scales Input Table'!S87&gt;0,'Scales Input Table'!S87,"")</f>
        <v>61</v>
      </c>
      <c r="M87" s="25" t="str">
        <f>_xlfn.XLOOKUP(Table2[[#This Row],[Car Number]],'Design Schedule'!$C$2:$C$121,'Design Schedule'!$B$2:$B$121)</f>
        <v>O</v>
      </c>
      <c r="N87" s="25" t="str">
        <f>_xlfn.XLOOKUP(Table2[[#This Row],[Car Number]],'Design Schedule'!$C$2:$C$121,'Design Schedule'!$A$2:$A$121)</f>
        <v>2:30PM</v>
      </c>
    </row>
    <row r="88" spans="1:14" x14ac:dyDescent="0.25">
      <c r="A88">
        <v>102</v>
      </c>
      <c r="B88" t="s">
        <v>56</v>
      </c>
      <c r="C88">
        <f>IF('Scales Input Table'!T88&gt;0,'Scales Input Table'!T88,"")</f>
        <v>249.022008</v>
      </c>
      <c r="D88" s="7">
        <f>'Scales Input Table'!V88</f>
        <v>0.5089163237311386</v>
      </c>
      <c r="E88" s="7">
        <f>'Scales Input Table'!X88</f>
        <v>0.50480109739368995</v>
      </c>
      <c r="F88">
        <f>IF('Scales Input Table'!M88&gt;0,'Scales Input Table'!M88,"")</f>
        <v>4</v>
      </c>
      <c r="G88">
        <f>IF('Scales Input Table'!N88&gt;0,'Scales Input Table'!N88,"")</f>
        <v>599.5</v>
      </c>
      <c r="H88" t="str">
        <f>IF('Scales Input Table'!O88&gt;0,'Scales Input Table'!O88,"")</f>
        <v>No</v>
      </c>
      <c r="I88" t="str">
        <f>IF('Scales Input Table'!P88&gt;0,'Scales Input Table'!P88,"")</f>
        <v>Tube Frame</v>
      </c>
      <c r="J88" t="str">
        <f>IF('Scales Input Table'!Q88&gt;0,'Scales Input Table'!Q88,"")</f>
        <v>Full Package</v>
      </c>
      <c r="K88" t="str">
        <f>IF('Scales Input Table'!R88&gt;0,'Scales Input Table'!R88,"")</f>
        <v>10"</v>
      </c>
      <c r="L88">
        <f>IF('Scales Input Table'!S88&gt;0,'Scales Input Table'!S88,"")</f>
        <v>60.75</v>
      </c>
      <c r="M88" s="25" t="str">
        <f>_xlfn.XLOOKUP(Table2[[#This Row],[Car Number]],'Design Schedule'!$C$2:$C$121,'Design Schedule'!$B$2:$B$121)</f>
        <v>N</v>
      </c>
      <c r="N88" s="25" t="str">
        <f>_xlfn.XLOOKUP(Table2[[#This Row],[Car Number]],'Design Schedule'!$C$2:$C$121,'Design Schedule'!$A$2:$A$121)</f>
        <v>12:30PM</v>
      </c>
    </row>
    <row r="89" spans="1:14" x14ac:dyDescent="0.25">
      <c r="A89">
        <v>103</v>
      </c>
      <c r="B89" t="s">
        <v>81</v>
      </c>
      <c r="C89">
        <f>IF('Scales Input Table'!T89&gt;0,'Scales Input Table'!T89,"")</f>
        <v>195.498152</v>
      </c>
      <c r="D89" s="7">
        <f>'Scales Input Table'!V89</f>
        <v>0.49342105263157893</v>
      </c>
      <c r="E89" s="7">
        <f>'Scales Input Table'!X89</f>
        <v>0.5</v>
      </c>
      <c r="F89">
        <f>IF('Scales Input Table'!M89&gt;0,'Scales Input Table'!M89,"")</f>
        <v>1</v>
      </c>
      <c r="G89">
        <f>IF('Scales Input Table'!N89&gt;0,'Scales Input Table'!N89,"")</f>
        <v>450</v>
      </c>
      <c r="H89" t="str">
        <f>IF('Scales Input Table'!O89&gt;0,'Scales Input Table'!O89,"")</f>
        <v>No</v>
      </c>
      <c r="I89" t="str">
        <f>IF('Scales Input Table'!P89&gt;0,'Scales Input Table'!P89,"")</f>
        <v>Tube Frame</v>
      </c>
      <c r="J89" t="str">
        <f>IF('Scales Input Table'!Q89&gt;0,'Scales Input Table'!Q89,"")</f>
        <v>None</v>
      </c>
      <c r="K89" t="str">
        <f>IF('Scales Input Table'!R89&gt;0,'Scales Input Table'!R89,"")</f>
        <v>10"</v>
      </c>
      <c r="L89">
        <f>IF('Scales Input Table'!S89&gt;0,'Scales Input Table'!S89,"")</f>
        <v>62</v>
      </c>
      <c r="M89" s="25" t="str">
        <f>_xlfn.XLOOKUP(Table2[[#This Row],[Car Number]],'Design Schedule'!$C$2:$C$121,'Design Schedule'!$B$2:$B$121)</f>
        <v>B</v>
      </c>
      <c r="N89" s="25" t="str">
        <f>_xlfn.XLOOKUP(Table2[[#This Row],[Car Number]],'Design Schedule'!$C$2:$C$121,'Design Schedule'!$A$2:$A$121)</f>
        <v>2:30PM</v>
      </c>
    </row>
    <row r="90" spans="1:14" x14ac:dyDescent="0.25">
      <c r="A90">
        <v>104</v>
      </c>
      <c r="B90" t="s">
        <v>178</v>
      </c>
      <c r="C90">
        <f>IF('Scales Input Table'!T90&gt;0,'Scales Input Table'!T90,"")</f>
        <v>212.73464799999999</v>
      </c>
      <c r="D90" s="7">
        <f>'Scales Input Table'!V90</f>
        <v>0.50141643059490082</v>
      </c>
      <c r="E90" s="7">
        <f>'Scales Input Table'!X90</f>
        <v>0.50424929178470257</v>
      </c>
      <c r="F90">
        <f>IF('Scales Input Table'!M90&gt;0,'Scales Input Table'!M90,"")</f>
        <v>1</v>
      </c>
      <c r="G90">
        <f>IF('Scales Input Table'!N90&gt;0,'Scales Input Table'!N90,"")</f>
        <v>693</v>
      </c>
      <c r="H90" t="str">
        <f>IF('Scales Input Table'!O90&gt;0,'Scales Input Table'!O90,"")</f>
        <v>No</v>
      </c>
      <c r="I90" t="str">
        <f>IF('Scales Input Table'!P90&gt;0,'Scales Input Table'!P90,"")</f>
        <v>Tube Frame</v>
      </c>
      <c r="J90" t="str">
        <f>IF('Scales Input Table'!Q90&gt;0,'Scales Input Table'!Q90,"")</f>
        <v>None</v>
      </c>
      <c r="K90" t="str">
        <f>IF('Scales Input Table'!R90&gt;0,'Scales Input Table'!R90,"")</f>
        <v>10"</v>
      </c>
      <c r="L90">
        <f>IF('Scales Input Table'!S90&gt;0,'Scales Input Table'!S90,"")</f>
        <v>60.236220472440948</v>
      </c>
      <c r="M90" s="25" t="str">
        <f>_xlfn.XLOOKUP(Table2[[#This Row],[Car Number]],'Design Schedule'!$C$2:$C$121,'Design Schedule'!$B$2:$B$121)</f>
        <v>L</v>
      </c>
      <c r="N90" s="25" t="str">
        <f>_xlfn.XLOOKUP(Table2[[#This Row],[Car Number]],'Design Schedule'!$C$2:$C$121,'Design Schedule'!$A$2:$A$121)</f>
        <v>3:30PM</v>
      </c>
    </row>
    <row r="91" spans="1:14" x14ac:dyDescent="0.25">
      <c r="A91">
        <v>105</v>
      </c>
      <c r="B91" t="s">
        <v>80</v>
      </c>
      <c r="C91">
        <f>IF('Scales Input Table'!T91&gt;0,'Scales Input Table'!T91,"")</f>
        <v>188.69427200000001</v>
      </c>
      <c r="D91" s="7">
        <f>'Scales Input Table'!V91</f>
        <v>0.50973451327433628</v>
      </c>
      <c r="E91" s="7">
        <f>'Scales Input Table'!X91</f>
        <v>0.50088495575221237</v>
      </c>
      <c r="F91">
        <f>IF('Scales Input Table'!M91&gt;0,'Scales Input Table'!M91,"")</f>
        <v>1</v>
      </c>
      <c r="G91">
        <f>IF('Scales Input Table'!N91&gt;0,'Scales Input Table'!N91,"")</f>
        <v>450</v>
      </c>
      <c r="H91" t="str">
        <f>IF('Scales Input Table'!O91&gt;0,'Scales Input Table'!O91,"")</f>
        <v>No</v>
      </c>
      <c r="I91" t="str">
        <f>IF('Scales Input Table'!P91&gt;0,'Scales Input Table'!P91,"")</f>
        <v>Tube Frame</v>
      </c>
      <c r="J91" t="str">
        <f>IF('Scales Input Table'!Q91&gt;0,'Scales Input Table'!Q91,"")</f>
        <v>None</v>
      </c>
      <c r="K91" t="str">
        <f>IF('Scales Input Table'!R91&gt;0,'Scales Input Table'!R91,"")</f>
        <v>13"</v>
      </c>
      <c r="L91">
        <f>IF('Scales Input Table'!S91&gt;0,'Scales Input Table'!S91,"")</f>
        <v>60.984251968503941</v>
      </c>
      <c r="M91" s="25" t="str">
        <f>_xlfn.XLOOKUP(Table2[[#This Row],[Car Number]],'Design Schedule'!$C$2:$C$121,'Design Schedule'!$B$2:$B$121)</f>
        <v>H</v>
      </c>
      <c r="N91" s="25" t="str">
        <f>_xlfn.XLOOKUP(Table2[[#This Row],[Car Number]],'Design Schedule'!$C$2:$C$121,'Design Schedule'!$A$2:$A$121)</f>
        <v>10:30AM</v>
      </c>
    </row>
    <row r="92" spans="1:14" x14ac:dyDescent="0.25">
      <c r="A92">
        <v>106</v>
      </c>
      <c r="B92" t="s">
        <v>34</v>
      </c>
      <c r="C92">
        <f>IF('Scales Input Table'!T92&gt;0,'Scales Input Table'!T92,"")</f>
        <v>155.58205599999999</v>
      </c>
      <c r="D92" s="7">
        <f>'Scales Input Table'!V92</f>
        <v>0.43339960238568587</v>
      </c>
      <c r="E92" s="7">
        <f>'Scales Input Table'!X92</f>
        <v>0.49502982107355864</v>
      </c>
      <c r="F92">
        <f>IF('Scales Input Table'!M92&gt;0,'Scales Input Table'!M92,"")</f>
        <v>1</v>
      </c>
      <c r="G92">
        <f>IF('Scales Input Table'!N92&gt;0,'Scales Input Table'!N92,"")</f>
        <v>450</v>
      </c>
      <c r="H92" t="str">
        <f>IF('Scales Input Table'!O92&gt;0,'Scales Input Table'!O92,"")</f>
        <v>Yes, No Cooler</v>
      </c>
      <c r="I92" t="str">
        <f>IF('Scales Input Table'!P92&gt;0,'Scales Input Table'!P92,"")</f>
        <v>Tube Frame</v>
      </c>
      <c r="J92" t="str">
        <f>IF('Scales Input Table'!Q92&gt;0,'Scales Input Table'!Q92,"")</f>
        <v>Wings Only</v>
      </c>
      <c r="K92" t="str">
        <f>IF('Scales Input Table'!R92&gt;0,'Scales Input Table'!R92,"")</f>
        <v>10"</v>
      </c>
      <c r="L92">
        <f>IF('Scales Input Table'!S92&gt;0,'Scales Input Table'!S92,"")</f>
        <v>61.5</v>
      </c>
      <c r="M92" s="25" t="str">
        <f>_xlfn.XLOOKUP(Table2[[#This Row],[Car Number]],'Design Schedule'!$C$2:$C$121,'Design Schedule'!$B$2:$B$121)</f>
        <v>O</v>
      </c>
      <c r="N92" s="25" t="str">
        <f>_xlfn.XLOOKUP(Table2[[#This Row],[Car Number]],'Design Schedule'!$C$2:$C$121,'Design Schedule'!$A$2:$A$121)</f>
        <v>1:30PM</v>
      </c>
    </row>
    <row r="93" spans="1:14" x14ac:dyDescent="0.25">
      <c r="A93">
        <v>107</v>
      </c>
      <c r="B93" t="s">
        <v>110</v>
      </c>
      <c r="C93">
        <f>IF('Scales Input Table'!T93&gt;0,'Scales Input Table'!T93,"")</f>
        <v>198.21970400000001</v>
      </c>
      <c r="D93" s="7">
        <f>'Scales Input Table'!V93</f>
        <v>0.43493761140819964</v>
      </c>
      <c r="E93" s="7">
        <f>'Scales Input Table'!X93</f>
        <v>0.50445632798573981</v>
      </c>
      <c r="F93">
        <f>IF('Scales Input Table'!M93&gt;0,'Scales Input Table'!M93,"")</f>
        <v>4</v>
      </c>
      <c r="G93">
        <f>IF('Scales Input Table'!N93&gt;0,'Scales Input Table'!N93,"")</f>
        <v>599</v>
      </c>
      <c r="H93" t="str">
        <f>IF('Scales Input Table'!O93&gt;0,'Scales Input Table'!O93,"")</f>
        <v>No</v>
      </c>
      <c r="I93" t="str">
        <f>IF('Scales Input Table'!P93&gt;0,'Scales Input Table'!P93,"")</f>
        <v>Tube Frame</v>
      </c>
      <c r="J93" t="str">
        <f>IF('Scales Input Table'!Q93&gt;0,'Scales Input Table'!Q93,"")</f>
        <v>None</v>
      </c>
      <c r="K93" t="str">
        <f>IF('Scales Input Table'!R93&gt;0,'Scales Input Table'!R93,"")</f>
        <v>10"</v>
      </c>
      <c r="L93">
        <f>IF('Scales Input Table'!S93&gt;0,'Scales Input Table'!S93,"")</f>
        <v>62</v>
      </c>
      <c r="M93" s="25" t="e">
        <f>_xlfn.XLOOKUP(Table2[[#This Row],[Car Number]],'Design Schedule'!$C$2:$C$121,'Design Schedule'!$B$2:$B$121)</f>
        <v>#N/A</v>
      </c>
      <c r="N93" s="25" t="e">
        <f>_xlfn.XLOOKUP(Table2[[#This Row],[Car Number]],'Design Schedule'!$C$2:$C$121,'Design Schedule'!$A$2:$A$121)</f>
        <v>#N/A</v>
      </c>
    </row>
    <row r="94" spans="1:14" x14ac:dyDescent="0.25">
      <c r="A94">
        <v>108</v>
      </c>
      <c r="B94" t="s">
        <v>30</v>
      </c>
      <c r="C94">
        <f>IF('Scales Input Table'!T94&gt;0,'Scales Input Table'!T94,"")</f>
        <v>225.88881599999999</v>
      </c>
      <c r="D94" s="7">
        <f>'Scales Input Table'!V94</f>
        <v>0.51622874806800623</v>
      </c>
      <c r="E94" s="7">
        <f>'Scales Input Table'!X94</f>
        <v>0.50695517774343124</v>
      </c>
      <c r="F94">
        <f>IF('Scales Input Table'!M94&gt;0,'Scales Input Table'!M94,"")</f>
        <v>4</v>
      </c>
      <c r="G94">
        <f>IF('Scales Input Table'!N94&gt;0,'Scales Input Table'!N94,"")</f>
        <v>600</v>
      </c>
      <c r="H94" t="str">
        <f>IF('Scales Input Table'!O94&gt;0,'Scales Input Table'!O94,"")</f>
        <v>No</v>
      </c>
      <c r="I94" t="str">
        <f>IF('Scales Input Table'!P94&gt;0,'Scales Input Table'!P94,"")</f>
        <v>Tube Frame</v>
      </c>
      <c r="J94" t="str">
        <f>IF('Scales Input Table'!Q94&gt;0,'Scales Input Table'!Q94,"")</f>
        <v>None</v>
      </c>
      <c r="K94" t="str">
        <f>IF('Scales Input Table'!R94&gt;0,'Scales Input Table'!R94,"")</f>
        <v>13"</v>
      </c>
      <c r="L94">
        <f>IF('Scales Input Table'!S94&gt;0,'Scales Input Table'!S94,"")</f>
        <v>62.007874015748037</v>
      </c>
      <c r="M94" s="25" t="str">
        <f>_xlfn.XLOOKUP(Table2[[#This Row],[Car Number]],'Design Schedule'!$C$2:$C$121,'Design Schedule'!$B$2:$B$121)</f>
        <v>F</v>
      </c>
      <c r="N94" s="25" t="str">
        <f>_xlfn.XLOOKUP(Table2[[#This Row],[Car Number]],'Design Schedule'!$C$2:$C$121,'Design Schedule'!$A$2:$A$121)</f>
        <v>2:30PM</v>
      </c>
    </row>
    <row r="95" spans="1:14" x14ac:dyDescent="0.25">
      <c r="A95">
        <v>109</v>
      </c>
      <c r="B95" t="s">
        <v>53</v>
      </c>
      <c r="C95">
        <f>IF('Scales Input Table'!T95&gt;0,'Scales Input Table'!T95,"")</f>
        <v>210.466688</v>
      </c>
      <c r="D95" s="7">
        <f>'Scales Input Table'!V95</f>
        <v>0.49846625766871167</v>
      </c>
      <c r="E95" s="7">
        <f>'Scales Input Table'!X95</f>
        <v>0.49233128834355827</v>
      </c>
      <c r="F95">
        <f>IF('Scales Input Table'!M95&gt;0,'Scales Input Table'!M95,"")</f>
        <v>1</v>
      </c>
      <c r="G95">
        <f>IF('Scales Input Table'!N95&gt;0,'Scales Input Table'!N95,"")</f>
        <v>450</v>
      </c>
      <c r="H95" t="str">
        <f>IF('Scales Input Table'!O95&gt;0,'Scales Input Table'!O95,"")</f>
        <v>No</v>
      </c>
      <c r="I95" t="str">
        <f>IF('Scales Input Table'!P95&gt;0,'Scales Input Table'!P95,"")</f>
        <v>Tube Frame</v>
      </c>
      <c r="J95" t="str">
        <f>IF('Scales Input Table'!Q95&gt;0,'Scales Input Table'!Q95,"")</f>
        <v>Wings Only</v>
      </c>
      <c r="K95" t="str">
        <f>IF('Scales Input Table'!R95&gt;0,'Scales Input Table'!R95,"")</f>
        <v>10"</v>
      </c>
      <c r="L95">
        <f>IF('Scales Input Table'!S95&gt;0,'Scales Input Table'!S95,"")</f>
        <v>62</v>
      </c>
      <c r="M95" s="25" t="str">
        <f>_xlfn.XLOOKUP(Table2[[#This Row],[Car Number]],'Design Schedule'!$C$2:$C$121,'Design Schedule'!$B$2:$B$121)</f>
        <v>O</v>
      </c>
      <c r="N95" s="25" t="str">
        <f>_xlfn.XLOOKUP(Table2[[#This Row],[Car Number]],'Design Schedule'!$C$2:$C$121,'Design Schedule'!$A$2:$A$121)</f>
        <v>3:30PM</v>
      </c>
    </row>
    <row r="96" spans="1:14" x14ac:dyDescent="0.25">
      <c r="A96">
        <v>110</v>
      </c>
      <c r="B96" t="s">
        <v>66</v>
      </c>
      <c r="C96">
        <f>IF('Scales Input Table'!T96&gt;0,'Scales Input Table'!T96,"")</f>
        <v>210.92027999999999</v>
      </c>
      <c r="D96" s="7">
        <f>'Scales Input Table'!V96</f>
        <v>0.47251114413075779</v>
      </c>
      <c r="E96" s="7">
        <f>'Scales Input Table'!X96</f>
        <v>0.48736998514115898</v>
      </c>
      <c r="F96">
        <f>IF('Scales Input Table'!M96&gt;0,'Scales Input Table'!M96,"")</f>
        <v>2</v>
      </c>
      <c r="G96">
        <f>IF('Scales Input Table'!N96&gt;0,'Scales Input Table'!N96,"")</f>
        <v>499</v>
      </c>
      <c r="H96" t="str">
        <f>IF('Scales Input Table'!O96&gt;0,'Scales Input Table'!O96,"")</f>
        <v>No</v>
      </c>
      <c r="I96" t="str">
        <f>IF('Scales Input Table'!P96&gt;0,'Scales Input Table'!P96,"")</f>
        <v>Tube Frame</v>
      </c>
      <c r="J96" t="str">
        <f>IF('Scales Input Table'!Q96&gt;0,'Scales Input Table'!Q96,"")</f>
        <v>Full Package</v>
      </c>
      <c r="K96" t="str">
        <f>IF('Scales Input Table'!R96&gt;0,'Scales Input Table'!R96,"")</f>
        <v>10"</v>
      </c>
      <c r="L96">
        <f>IF('Scales Input Table'!S96&gt;0,'Scales Input Table'!S96,"")</f>
        <v>68</v>
      </c>
      <c r="M96" s="25" t="str">
        <f>_xlfn.XLOOKUP(Table2[[#This Row],[Car Number]],'Design Schedule'!$C$2:$C$121,'Design Schedule'!$B$2:$B$121)</f>
        <v>N</v>
      </c>
      <c r="N96" s="25" t="str">
        <f>_xlfn.XLOOKUP(Table2[[#This Row],[Car Number]],'Design Schedule'!$C$2:$C$121,'Design Schedule'!$A$2:$A$121)</f>
        <v>1:30PM</v>
      </c>
    </row>
    <row r="97" spans="1:14" x14ac:dyDescent="0.25">
      <c r="A97">
        <v>111</v>
      </c>
      <c r="B97" t="s">
        <v>77</v>
      </c>
      <c r="C97">
        <f>IF('Scales Input Table'!T97&gt;0,'Scales Input Table'!T97,"")</f>
        <v>247.20764</v>
      </c>
      <c r="D97" s="7">
        <f>'Scales Input Table'!V97</f>
        <v>0.49107142857142855</v>
      </c>
      <c r="E97" s="7">
        <f>'Scales Input Table'!X97</f>
        <v>0.49702380952380953</v>
      </c>
      <c r="F97">
        <f>IF('Scales Input Table'!M97&gt;0,'Scales Input Table'!M97,"")</f>
        <v>4</v>
      </c>
      <c r="G97">
        <f>IF('Scales Input Table'!N97&gt;0,'Scales Input Table'!N97,"")</f>
        <v>600</v>
      </c>
      <c r="H97" t="str">
        <f>IF('Scales Input Table'!O97&gt;0,'Scales Input Table'!O97,"")</f>
        <v>No</v>
      </c>
      <c r="I97" t="str">
        <f>IF('Scales Input Table'!P97&gt;0,'Scales Input Table'!P97,"")</f>
        <v>Tube Frame</v>
      </c>
      <c r="J97" t="str">
        <f>IF('Scales Input Table'!Q97&gt;0,'Scales Input Table'!Q97,"")</f>
        <v>Full Package</v>
      </c>
      <c r="K97" t="str">
        <f>IF('Scales Input Table'!R97&gt;0,'Scales Input Table'!R97,"")</f>
        <v>13"</v>
      </c>
      <c r="L97">
        <f>IF('Scales Input Table'!S97&gt;0,'Scales Input Table'!S97,"")</f>
        <v>64</v>
      </c>
      <c r="M97" s="25" t="str">
        <f>_xlfn.XLOOKUP(Table2[[#This Row],[Car Number]],'Design Schedule'!$C$2:$C$121,'Design Schedule'!$B$2:$B$121)</f>
        <v>C</v>
      </c>
      <c r="N97" s="25" t="str">
        <f>_xlfn.XLOOKUP(Table2[[#This Row],[Car Number]],'Design Schedule'!$C$2:$C$121,'Design Schedule'!$A$2:$A$121)</f>
        <v>2:30PM</v>
      </c>
    </row>
    <row r="98" spans="1:14" x14ac:dyDescent="0.25">
      <c r="A98">
        <v>112</v>
      </c>
      <c r="B98" t="s">
        <v>102</v>
      </c>
      <c r="C98" t="str">
        <f>IF('Scales Input Table'!T98&gt;0,'Scales Input Table'!T98,"")</f>
        <v/>
      </c>
      <c r="D98" s="7" t="str">
        <f>'Scales Input Table'!V98</f>
        <v/>
      </c>
      <c r="E98" s="7" t="str">
        <f>'Scales Input Table'!X98</f>
        <v/>
      </c>
      <c r="F98" t="str">
        <f>IF('Scales Input Table'!M98&gt;0,'Scales Input Table'!M98,"")</f>
        <v/>
      </c>
      <c r="G98" t="str">
        <f>IF('Scales Input Table'!N98&gt;0,'Scales Input Table'!N98,"")</f>
        <v/>
      </c>
      <c r="H98" t="str">
        <f>IF('Scales Input Table'!O98&gt;0,'Scales Input Table'!O98,"")</f>
        <v/>
      </c>
      <c r="I98" t="str">
        <f>IF('Scales Input Table'!P98&gt;0,'Scales Input Table'!P98,"")</f>
        <v/>
      </c>
      <c r="J98" t="str">
        <f>IF('Scales Input Table'!Q98&gt;0,'Scales Input Table'!Q98,"")</f>
        <v/>
      </c>
      <c r="K98" t="str">
        <f>IF('Scales Input Table'!R98&gt;0,'Scales Input Table'!R98,"")</f>
        <v/>
      </c>
      <c r="L98" t="str">
        <f>IF('Scales Input Table'!S98&gt;0,'Scales Input Table'!S98,"")</f>
        <v/>
      </c>
      <c r="M98" s="25" t="str">
        <f>_xlfn.XLOOKUP(Table2[[#This Row],[Car Number]],'Design Schedule'!$C$2:$C$121,'Design Schedule'!$B$2:$B$121)</f>
        <v>J</v>
      </c>
      <c r="N98" s="25" t="str">
        <f>_xlfn.XLOOKUP(Table2[[#This Row],[Car Number]],'Design Schedule'!$C$2:$C$121,'Design Schedule'!$A$2:$A$121)</f>
        <v>2:30PM</v>
      </c>
    </row>
    <row r="99" spans="1:14" x14ac:dyDescent="0.25">
      <c r="A99">
        <v>113</v>
      </c>
      <c r="B99" t="s">
        <v>88</v>
      </c>
      <c r="C99">
        <f>IF('Scales Input Table'!T99&gt;0,'Scales Input Table'!T99,"")</f>
        <v>167.82903999999999</v>
      </c>
      <c r="D99" s="7">
        <f>'Scales Input Table'!V99</f>
        <v>0.48501872659176032</v>
      </c>
      <c r="E99" s="7">
        <f>'Scales Input Table'!X99</f>
        <v>0.49812734082397003</v>
      </c>
      <c r="F99">
        <f>IF('Scales Input Table'!M99&gt;0,'Scales Input Table'!M99,"")</f>
        <v>1</v>
      </c>
      <c r="G99">
        <f>IF('Scales Input Table'!N99&gt;0,'Scales Input Table'!N99,"")</f>
        <v>449</v>
      </c>
      <c r="H99" t="str">
        <f>IF('Scales Input Table'!O99&gt;0,'Scales Input Table'!O99,"")</f>
        <v>No</v>
      </c>
      <c r="I99" t="str">
        <f>IF('Scales Input Table'!P99&gt;0,'Scales Input Table'!P99,"")</f>
        <v>Tube Frame</v>
      </c>
      <c r="J99" t="str">
        <f>IF('Scales Input Table'!Q99&gt;0,'Scales Input Table'!Q99,"")</f>
        <v>None</v>
      </c>
      <c r="K99" t="str">
        <f>IF('Scales Input Table'!R99&gt;0,'Scales Input Table'!R99,"")</f>
        <v>10"</v>
      </c>
      <c r="L99">
        <f>IF('Scales Input Table'!S99&gt;0,'Scales Input Table'!S99,"")</f>
        <v>61.023622047244096</v>
      </c>
      <c r="M99" s="25" t="str">
        <f>_xlfn.XLOOKUP(Table2[[#This Row],[Car Number]],'Design Schedule'!$C$2:$C$121,'Design Schedule'!$B$2:$B$121)</f>
        <v>N</v>
      </c>
      <c r="N99" s="25" t="str">
        <f>_xlfn.XLOOKUP(Table2[[#This Row],[Car Number]],'Design Schedule'!$C$2:$C$121,'Design Schedule'!$A$2:$A$121)</f>
        <v>2:30PM</v>
      </c>
    </row>
    <row r="100" spans="1:14" x14ac:dyDescent="0.25">
      <c r="A100">
        <v>114</v>
      </c>
      <c r="B100" t="s">
        <v>179</v>
      </c>
      <c r="C100">
        <f>IF('Scales Input Table'!T100&gt;0,'Scales Input Table'!T100,"")</f>
        <v>299.82431200000002</v>
      </c>
      <c r="D100" s="7">
        <f>'Scales Input Table'!V100</f>
        <v>0.47080745341614905</v>
      </c>
      <c r="E100" s="7">
        <f>'Scales Input Table'!X100</f>
        <v>0.50559006211180124</v>
      </c>
      <c r="F100">
        <f>IF('Scales Input Table'!M100&gt;0,'Scales Input Table'!M100,"")</f>
        <v>4</v>
      </c>
      <c r="G100">
        <f>IF('Scales Input Table'!N100&gt;0,'Scales Input Table'!N100,"")</f>
        <v>599</v>
      </c>
      <c r="H100" t="str">
        <f>IF('Scales Input Table'!O100&gt;0,'Scales Input Table'!O100,"")</f>
        <v>No</v>
      </c>
      <c r="I100" t="str">
        <f>IF('Scales Input Table'!P100&gt;0,'Scales Input Table'!P100,"")</f>
        <v>Tube Frame</v>
      </c>
      <c r="J100" t="str">
        <f>IF('Scales Input Table'!Q100&gt;0,'Scales Input Table'!Q100,"")</f>
        <v>None</v>
      </c>
      <c r="K100" t="str">
        <f>IF('Scales Input Table'!R100&gt;0,'Scales Input Table'!R100,"")</f>
        <v>13"</v>
      </c>
      <c r="L100">
        <f>IF('Scales Input Table'!S100&gt;0,'Scales Input Table'!S100,"")</f>
        <v>65</v>
      </c>
      <c r="M100" s="25" t="str">
        <f>_xlfn.XLOOKUP(Table2[[#This Row],[Car Number]],'Design Schedule'!$C$2:$C$121,'Design Schedule'!$B$2:$B$121)</f>
        <v>G</v>
      </c>
      <c r="N100" s="25" t="str">
        <f>_xlfn.XLOOKUP(Table2[[#This Row],[Car Number]],'Design Schedule'!$C$2:$C$121,'Design Schedule'!$A$2:$A$121)</f>
        <v>2:30PM</v>
      </c>
    </row>
    <row r="101" spans="1:14" x14ac:dyDescent="0.25">
      <c r="A101">
        <v>115</v>
      </c>
      <c r="B101" t="s">
        <v>64</v>
      </c>
      <c r="C101">
        <f>IF('Scales Input Table'!T101&gt;0,'Scales Input Table'!T101,"")</f>
        <v>204.56999199999998</v>
      </c>
      <c r="D101" s="7">
        <f>'Scales Input Table'!V101</f>
        <v>0.51026856240126384</v>
      </c>
      <c r="E101" s="7">
        <f>'Scales Input Table'!X101</f>
        <v>0.51342812006319116</v>
      </c>
      <c r="F101">
        <f>IF('Scales Input Table'!M101&gt;0,'Scales Input Table'!M101,"")</f>
        <v>4</v>
      </c>
      <c r="G101">
        <f>IF('Scales Input Table'!N101&gt;0,'Scales Input Table'!N101,"")</f>
        <v>599</v>
      </c>
      <c r="H101" t="str">
        <f>IF('Scales Input Table'!O101&gt;0,'Scales Input Table'!O101,"")</f>
        <v>No</v>
      </c>
      <c r="I101" t="str">
        <f>IF('Scales Input Table'!P101&gt;0,'Scales Input Table'!P101,"")</f>
        <v>Tube Frame</v>
      </c>
      <c r="J101" t="str">
        <f>IF('Scales Input Table'!Q101&gt;0,'Scales Input Table'!Q101,"")</f>
        <v>Wings Only</v>
      </c>
      <c r="K101" t="str">
        <f>IF('Scales Input Table'!R101&gt;0,'Scales Input Table'!R101,"")</f>
        <v>10"</v>
      </c>
      <c r="L101">
        <f>IF('Scales Input Table'!S101&gt;0,'Scales Input Table'!S101,"")</f>
        <v>60.472440944881896</v>
      </c>
      <c r="M101" s="25" t="str">
        <f>_xlfn.XLOOKUP(Table2[[#This Row],[Car Number]],'Design Schedule'!$C$2:$C$121,'Design Schedule'!$B$2:$B$121)</f>
        <v>D</v>
      </c>
      <c r="N101" s="25" t="str">
        <f>_xlfn.XLOOKUP(Table2[[#This Row],[Car Number]],'Design Schedule'!$C$2:$C$121,'Design Schedule'!$A$2:$A$121)</f>
        <v>12:30PM</v>
      </c>
    </row>
    <row r="102" spans="1:14" x14ac:dyDescent="0.25">
      <c r="A102">
        <v>116</v>
      </c>
      <c r="B102" t="s">
        <v>180</v>
      </c>
      <c r="C102" t="str">
        <f>IF('Scales Input Table'!T102&gt;0,'Scales Input Table'!T102,"")</f>
        <v/>
      </c>
      <c r="D102" s="7" t="str">
        <f>'Scales Input Table'!V102</f>
        <v/>
      </c>
      <c r="E102" s="7" t="str">
        <f>'Scales Input Table'!X102</f>
        <v/>
      </c>
      <c r="F102" t="str">
        <f>IF('Scales Input Table'!M102&gt;0,'Scales Input Table'!M102,"")</f>
        <v/>
      </c>
      <c r="G102" t="str">
        <f>IF('Scales Input Table'!N102&gt;0,'Scales Input Table'!N102,"")</f>
        <v/>
      </c>
      <c r="H102" t="str">
        <f>IF('Scales Input Table'!O102&gt;0,'Scales Input Table'!O102,"")</f>
        <v/>
      </c>
      <c r="I102" t="str">
        <f>IF('Scales Input Table'!P102&gt;0,'Scales Input Table'!P102,"")</f>
        <v/>
      </c>
      <c r="J102" t="str">
        <f>IF('Scales Input Table'!Q102&gt;0,'Scales Input Table'!Q102,"")</f>
        <v/>
      </c>
      <c r="K102" t="str">
        <f>IF('Scales Input Table'!R102&gt;0,'Scales Input Table'!R102,"")</f>
        <v/>
      </c>
      <c r="L102" t="str">
        <f>IF('Scales Input Table'!S102&gt;0,'Scales Input Table'!S102,"")</f>
        <v/>
      </c>
      <c r="M102" s="25" t="str">
        <f>_xlfn.XLOOKUP(Table2[[#This Row],[Car Number]],'Design Schedule'!$C$2:$C$121,'Design Schedule'!$B$2:$B$121)</f>
        <v>I</v>
      </c>
      <c r="N102" s="25" t="str">
        <f>_xlfn.XLOOKUP(Table2[[#This Row],[Car Number]],'Design Schedule'!$C$2:$C$121,'Design Schedule'!$A$2:$A$121)</f>
        <v>4:30PM</v>
      </c>
    </row>
    <row r="103" spans="1:14" x14ac:dyDescent="0.25">
      <c r="A103">
        <v>117</v>
      </c>
      <c r="B103" t="s">
        <v>74</v>
      </c>
      <c r="C103">
        <f>IF('Scales Input Table'!T103&gt;0,'Scales Input Table'!T103,"")</f>
        <v>226.79599999999999</v>
      </c>
      <c r="D103" s="7">
        <f>'Scales Input Table'!V103</f>
        <v>0.47965116279069769</v>
      </c>
      <c r="E103" s="7">
        <f>'Scales Input Table'!X103</f>
        <v>0.49709302325581395</v>
      </c>
      <c r="F103">
        <f>IF('Scales Input Table'!M103&gt;0,'Scales Input Table'!M103,"")</f>
        <v>4</v>
      </c>
      <c r="G103">
        <f>IF('Scales Input Table'!N103&gt;0,'Scales Input Table'!N103,"")</f>
        <v>599</v>
      </c>
      <c r="H103" t="str">
        <f>IF('Scales Input Table'!O103&gt;0,'Scales Input Table'!O103,"")</f>
        <v>No</v>
      </c>
      <c r="I103" t="str">
        <f>IF('Scales Input Table'!P103&gt;0,'Scales Input Table'!P103,"")</f>
        <v>Tube Frame</v>
      </c>
      <c r="J103" t="str">
        <f>IF('Scales Input Table'!Q103&gt;0,'Scales Input Table'!Q103,"")</f>
        <v>Full Package</v>
      </c>
      <c r="K103" t="str">
        <f>IF('Scales Input Table'!R103&gt;0,'Scales Input Table'!R103,"")</f>
        <v>10"</v>
      </c>
      <c r="L103">
        <f>IF('Scales Input Table'!S103&gt;0,'Scales Input Table'!S103,"")</f>
        <v>61</v>
      </c>
      <c r="M103" s="25" t="str">
        <f>_xlfn.XLOOKUP(Table2[[#This Row],[Car Number]],'Design Schedule'!$C$2:$C$121,'Design Schedule'!$B$2:$B$121)</f>
        <v>D</v>
      </c>
      <c r="N103" s="25" t="str">
        <f>_xlfn.XLOOKUP(Table2[[#This Row],[Car Number]],'Design Schedule'!$C$2:$C$121,'Design Schedule'!$A$2:$A$121)</f>
        <v>3:30PM</v>
      </c>
    </row>
    <row r="104" spans="1:14" x14ac:dyDescent="0.25">
      <c r="A104">
        <v>118</v>
      </c>
      <c r="B104" t="s">
        <v>83</v>
      </c>
      <c r="C104">
        <f>IF('Scales Input Table'!T104&gt;0,'Scales Input Table'!T104,"")</f>
        <v>213.18824000000001</v>
      </c>
      <c r="D104" s="7">
        <f>'Scales Input Table'!V104</f>
        <v>0.49613601236476046</v>
      </c>
      <c r="E104" s="7">
        <f>'Scales Input Table'!X104</f>
        <v>0.49768160741885625</v>
      </c>
      <c r="F104">
        <f>IF('Scales Input Table'!M104&gt;0,'Scales Input Table'!M104,"")</f>
        <v>4</v>
      </c>
      <c r="G104">
        <f>IF('Scales Input Table'!N104&gt;0,'Scales Input Table'!N104,"")</f>
        <v>599</v>
      </c>
      <c r="H104" t="str">
        <f>IF('Scales Input Table'!O104&gt;0,'Scales Input Table'!O104,"")</f>
        <v>No</v>
      </c>
      <c r="I104" t="str">
        <f>IF('Scales Input Table'!P104&gt;0,'Scales Input Table'!P104,"")</f>
        <v>Tube Frame</v>
      </c>
      <c r="J104" t="str">
        <f>IF('Scales Input Table'!Q104&gt;0,'Scales Input Table'!Q104,"")</f>
        <v>Full Package</v>
      </c>
      <c r="K104" t="str">
        <f>IF('Scales Input Table'!R104&gt;0,'Scales Input Table'!R104,"")</f>
        <v>10"</v>
      </c>
      <c r="L104">
        <f>IF('Scales Input Table'!S104&gt;0,'Scales Input Table'!S104,"")</f>
        <v>60.511811023622052</v>
      </c>
      <c r="M104" s="25" t="str">
        <f>_xlfn.XLOOKUP(Table2[[#This Row],[Car Number]],'Design Schedule'!$C$2:$C$121,'Design Schedule'!$B$2:$B$121)</f>
        <v>C</v>
      </c>
      <c r="N104" s="25" t="str">
        <f>_xlfn.XLOOKUP(Table2[[#This Row],[Car Number]],'Design Schedule'!$C$2:$C$121,'Design Schedule'!$A$2:$A$121)</f>
        <v>1:30PM</v>
      </c>
    </row>
    <row r="105" spans="1:14" x14ac:dyDescent="0.25">
      <c r="A105">
        <v>119</v>
      </c>
      <c r="B105" t="s">
        <v>98</v>
      </c>
      <c r="C105">
        <f>IF('Scales Input Table'!T105&gt;0,'Scales Input Table'!T105,"")</f>
        <v>191.41582399999999</v>
      </c>
      <c r="D105" s="7">
        <f>'Scales Input Table'!V105</f>
        <v>0.47212543554006969</v>
      </c>
      <c r="E105" s="7">
        <f>'Scales Input Table'!X105</f>
        <v>0.50174216027874563</v>
      </c>
      <c r="F105">
        <f>IF('Scales Input Table'!M105&gt;0,'Scales Input Table'!M105,"")</f>
        <v>2</v>
      </c>
      <c r="G105">
        <f>IF('Scales Input Table'!N105&gt;0,'Scales Input Table'!N105,"")</f>
        <v>689</v>
      </c>
      <c r="H105" t="str">
        <f>IF('Scales Input Table'!O105&gt;0,'Scales Input Table'!O105,"")</f>
        <v>No</v>
      </c>
      <c r="I105" t="str">
        <f>IF('Scales Input Table'!P105&gt;0,'Scales Input Table'!P105,"")</f>
        <v>Tube Frame</v>
      </c>
      <c r="J105" t="str">
        <f>IF('Scales Input Table'!Q105&gt;0,'Scales Input Table'!Q105,"")</f>
        <v>Full Package</v>
      </c>
      <c r="K105" t="str">
        <f>IF('Scales Input Table'!R105&gt;0,'Scales Input Table'!R105,"")</f>
        <v>10"</v>
      </c>
      <c r="L105">
        <f>IF('Scales Input Table'!S105&gt;0,'Scales Input Table'!S105,"")</f>
        <v>60.6</v>
      </c>
      <c r="M105" s="25" t="e">
        <f>_xlfn.XLOOKUP(Table2[[#This Row],[Car Number]],'Design Schedule'!$C$2:$C$121,'Design Schedule'!$B$2:$B$121)</f>
        <v>#N/A</v>
      </c>
      <c r="N105" s="25" t="e">
        <f>_xlfn.XLOOKUP(Table2[[#This Row],[Car Number]],'Design Schedule'!$C$2:$C$121,'Design Schedule'!$A$2:$A$121)</f>
        <v>#N/A</v>
      </c>
    </row>
    <row r="106" spans="1:14" x14ac:dyDescent="0.25">
      <c r="A106">
        <v>120</v>
      </c>
      <c r="B106" t="s">
        <v>97</v>
      </c>
      <c r="C106" t="str">
        <f>IF('Scales Input Table'!T106&gt;0,'Scales Input Table'!T106,"")</f>
        <v/>
      </c>
      <c r="D106" s="7" t="str">
        <f>'Scales Input Table'!V106</f>
        <v/>
      </c>
      <c r="E106" s="7" t="str">
        <f>'Scales Input Table'!X106</f>
        <v/>
      </c>
      <c r="F106" t="str">
        <f>IF('Scales Input Table'!M106&gt;0,'Scales Input Table'!M106,"")</f>
        <v/>
      </c>
      <c r="G106" t="str">
        <f>IF('Scales Input Table'!N106&gt;0,'Scales Input Table'!N106,"")</f>
        <v/>
      </c>
      <c r="H106" t="str">
        <f>IF('Scales Input Table'!O106&gt;0,'Scales Input Table'!O106,"")</f>
        <v/>
      </c>
      <c r="I106" t="str">
        <f>IF('Scales Input Table'!P106&gt;0,'Scales Input Table'!P106,"")</f>
        <v/>
      </c>
      <c r="J106" t="str">
        <f>IF('Scales Input Table'!Q106&gt;0,'Scales Input Table'!Q106,"")</f>
        <v/>
      </c>
      <c r="K106" t="str">
        <f>IF('Scales Input Table'!R106&gt;0,'Scales Input Table'!R106,"")</f>
        <v/>
      </c>
      <c r="L106" t="str">
        <f>IF('Scales Input Table'!S106&gt;0,'Scales Input Table'!S106,"")</f>
        <v/>
      </c>
      <c r="M106" s="25" t="str">
        <f>_xlfn.XLOOKUP(Table2[[#This Row],[Car Number]],'Design Schedule'!$C$2:$C$121,'Design Schedule'!$B$2:$B$121)</f>
        <v>A</v>
      </c>
      <c r="N106" s="25" t="str">
        <f>_xlfn.XLOOKUP(Table2[[#This Row],[Car Number]],'Design Schedule'!$C$2:$C$121,'Design Schedule'!$A$2:$A$121)</f>
        <v>4:30PM</v>
      </c>
    </row>
    <row r="107" spans="1:14" x14ac:dyDescent="0.25">
      <c r="A107">
        <v>122</v>
      </c>
      <c r="B107" t="s">
        <v>68</v>
      </c>
      <c r="C107">
        <f>IF('Scales Input Table'!T107&gt;0,'Scales Input Table'!T107,"")</f>
        <v>222.713672</v>
      </c>
      <c r="D107" s="7">
        <f>'Scales Input Table'!V107</f>
        <v>0.48275862068965519</v>
      </c>
      <c r="E107" s="7">
        <f>'Scales Input Table'!X107</f>
        <v>0.50224887556221887</v>
      </c>
      <c r="F107">
        <f>IF('Scales Input Table'!M107&gt;0,'Scales Input Table'!M107,"")</f>
        <v>4</v>
      </c>
      <c r="G107">
        <f>IF('Scales Input Table'!N107&gt;0,'Scales Input Table'!N107,"")</f>
        <v>599</v>
      </c>
      <c r="H107" t="str">
        <f>IF('Scales Input Table'!O107&gt;0,'Scales Input Table'!O107,"")</f>
        <v>No</v>
      </c>
      <c r="I107" t="str">
        <f>IF('Scales Input Table'!P107&gt;0,'Scales Input Table'!P107,"")</f>
        <v>Tube Frame</v>
      </c>
      <c r="J107" t="str">
        <f>IF('Scales Input Table'!Q107&gt;0,'Scales Input Table'!Q107,"")</f>
        <v>Full Package</v>
      </c>
      <c r="K107" t="str">
        <f>IF('Scales Input Table'!R107&gt;0,'Scales Input Table'!R107,"")</f>
        <v>13"</v>
      </c>
      <c r="L107">
        <f>IF('Scales Input Table'!S107&gt;0,'Scales Input Table'!S107,"")</f>
        <v>62</v>
      </c>
      <c r="M107" s="25" t="str">
        <f>_xlfn.XLOOKUP(Table2[[#This Row],[Car Number]],'Design Schedule'!$C$2:$C$121,'Design Schedule'!$B$2:$B$121)</f>
        <v>B</v>
      </c>
      <c r="N107" s="25" t="str">
        <f>_xlfn.XLOOKUP(Table2[[#This Row],[Car Number]],'Design Schedule'!$C$2:$C$121,'Design Schedule'!$A$2:$A$121)</f>
        <v>3:30PM</v>
      </c>
    </row>
    <row r="108" spans="1:14" x14ac:dyDescent="0.25">
      <c r="A108">
        <v>123</v>
      </c>
      <c r="B108" t="s">
        <v>90</v>
      </c>
      <c r="C108">
        <f>IF('Scales Input Table'!T108&gt;0,'Scales Input Table'!T108,"")</f>
        <v>192.7766</v>
      </c>
      <c r="D108" s="7">
        <f>'Scales Input Table'!V108</f>
        <v>0.48686514886164622</v>
      </c>
      <c r="E108" s="7">
        <f>'Scales Input Table'!X108</f>
        <v>0.49912434325744309</v>
      </c>
      <c r="F108">
        <f>IF('Scales Input Table'!M108&gt;0,'Scales Input Table'!M108,"")</f>
        <v>4</v>
      </c>
      <c r="G108">
        <f>IF('Scales Input Table'!N108&gt;0,'Scales Input Table'!N108,"")</f>
        <v>599</v>
      </c>
      <c r="H108" t="str">
        <f>IF('Scales Input Table'!O108&gt;0,'Scales Input Table'!O108,"")</f>
        <v>No</v>
      </c>
      <c r="I108" t="str">
        <f>IF('Scales Input Table'!P108&gt;0,'Scales Input Table'!P108,"")</f>
        <v>Tube Frame</v>
      </c>
      <c r="J108" t="str">
        <f>IF('Scales Input Table'!Q108&gt;0,'Scales Input Table'!Q108,"")</f>
        <v>None</v>
      </c>
      <c r="K108" t="str">
        <f>IF('Scales Input Table'!R108&gt;0,'Scales Input Table'!R108,"")</f>
        <v>10"</v>
      </c>
      <c r="L108">
        <f>IF('Scales Input Table'!S108&gt;0,'Scales Input Table'!S108,"")</f>
        <v>60</v>
      </c>
      <c r="M108" s="25" t="str">
        <f>_xlfn.XLOOKUP(Table2[[#This Row],[Car Number]],'Design Schedule'!$C$2:$C$121,'Design Schedule'!$B$2:$B$121)</f>
        <v>L</v>
      </c>
      <c r="N108" s="25" t="str">
        <f>_xlfn.XLOOKUP(Table2[[#This Row],[Car Number]],'Design Schedule'!$C$2:$C$121,'Design Schedule'!$A$2:$A$121)</f>
        <v>10:30AM</v>
      </c>
    </row>
    <row r="109" spans="1:14" x14ac:dyDescent="0.25">
      <c r="A109">
        <v>124</v>
      </c>
      <c r="B109" t="s">
        <v>106</v>
      </c>
      <c r="C109">
        <f>IF('Scales Input Table'!T109&gt;0,'Scales Input Table'!T109,"")</f>
        <v>210.466688</v>
      </c>
      <c r="D109" s="7">
        <f>'Scales Input Table'!V109</f>
        <v>0.47318611987381703</v>
      </c>
      <c r="E109" s="7">
        <f>'Scales Input Table'!X109</f>
        <v>0.50473186119873814</v>
      </c>
      <c r="F109">
        <f>IF('Scales Input Table'!M109&gt;0,'Scales Input Table'!M109,"")</f>
        <v>4</v>
      </c>
      <c r="G109">
        <f>IF('Scales Input Table'!N109&gt;0,'Scales Input Table'!N109,"")</f>
        <v>636</v>
      </c>
      <c r="H109" t="str">
        <f>IF('Scales Input Table'!O109&gt;0,'Scales Input Table'!O109,"")</f>
        <v>No</v>
      </c>
      <c r="I109" t="str">
        <f>IF('Scales Input Table'!P109&gt;0,'Scales Input Table'!P109,"")</f>
        <v>Tube Frame</v>
      </c>
      <c r="J109" t="str">
        <f>IF('Scales Input Table'!Q109&gt;0,'Scales Input Table'!Q109,"")</f>
        <v>Wings Only</v>
      </c>
      <c r="K109" t="str">
        <f>IF('Scales Input Table'!R109&gt;0,'Scales Input Table'!R109,"")</f>
        <v>10"</v>
      </c>
      <c r="L109">
        <f>IF('Scales Input Table'!S109&gt;0,'Scales Input Table'!S109,"")</f>
        <v>63.5</v>
      </c>
      <c r="M109" s="25" t="str">
        <f>_xlfn.XLOOKUP(Table2[[#This Row],[Car Number]],'Design Schedule'!$C$2:$C$121,'Design Schedule'!$B$2:$B$121)</f>
        <v>O</v>
      </c>
      <c r="N109" s="25" t="str">
        <f>_xlfn.XLOOKUP(Table2[[#This Row],[Car Number]],'Design Schedule'!$C$2:$C$121,'Design Schedule'!$A$2:$A$121)</f>
        <v>12:30PM</v>
      </c>
    </row>
    <row r="110" spans="1:14" x14ac:dyDescent="0.25">
      <c r="A110">
        <v>125</v>
      </c>
      <c r="B110" t="s">
        <v>108</v>
      </c>
      <c r="C110">
        <f>IF('Scales Input Table'!T110&gt;0,'Scales Input Table'!T110,"")</f>
        <v>211.82746399999999</v>
      </c>
      <c r="D110" s="7">
        <f>'Scales Input Table'!V110</f>
        <v>0.49152542372881358</v>
      </c>
      <c r="E110" s="7">
        <f>'Scales Input Table'!X110</f>
        <v>0.49460708782742679</v>
      </c>
      <c r="F110">
        <f>IF('Scales Input Table'!M110&gt;0,'Scales Input Table'!M110,"")</f>
        <v>4</v>
      </c>
      <c r="G110">
        <f>IF('Scales Input Table'!N110&gt;0,'Scales Input Table'!N110,"")</f>
        <v>599</v>
      </c>
      <c r="H110" t="str">
        <f>IF('Scales Input Table'!O110&gt;0,'Scales Input Table'!O110,"")</f>
        <v>No</v>
      </c>
      <c r="I110" t="str">
        <f>IF('Scales Input Table'!P110&gt;0,'Scales Input Table'!P110,"")</f>
        <v>Tube Frame</v>
      </c>
      <c r="J110" t="str">
        <f>IF('Scales Input Table'!Q110&gt;0,'Scales Input Table'!Q110,"")</f>
        <v>None</v>
      </c>
      <c r="K110" t="str">
        <f>IF('Scales Input Table'!R110&gt;0,'Scales Input Table'!R110,"")</f>
        <v>13"</v>
      </c>
      <c r="L110">
        <f>IF('Scales Input Table'!S110&gt;0,'Scales Input Table'!S110,"")</f>
        <v>64</v>
      </c>
      <c r="M110" s="25" t="str">
        <f>_xlfn.XLOOKUP(Table2[[#This Row],[Car Number]],'Design Schedule'!$C$2:$C$121,'Design Schedule'!$B$2:$B$121)</f>
        <v>F</v>
      </c>
      <c r="N110" s="25" t="str">
        <f>_xlfn.XLOOKUP(Table2[[#This Row],[Car Number]],'Design Schedule'!$C$2:$C$121,'Design Schedule'!$A$2:$A$121)</f>
        <v>12:30PM</v>
      </c>
    </row>
    <row r="111" spans="1:14" x14ac:dyDescent="0.25">
      <c r="A111">
        <v>126</v>
      </c>
      <c r="B111" t="s">
        <v>107</v>
      </c>
      <c r="C111">
        <f>IF('Scales Input Table'!T111&gt;0,'Scales Input Table'!T111,"")</f>
        <v>210.92027999999999</v>
      </c>
      <c r="D111" s="7">
        <f>'Scales Input Table'!V111</f>
        <v>0.45765472312703581</v>
      </c>
      <c r="E111" s="7">
        <f>'Scales Input Table'!X111</f>
        <v>0.50651465798045603</v>
      </c>
      <c r="F111">
        <f>IF('Scales Input Table'!M111&gt;0,'Scales Input Table'!M111,"")</f>
        <v>4</v>
      </c>
      <c r="G111">
        <f>IF('Scales Input Table'!N111&gt;0,'Scales Input Table'!N111,"")</f>
        <v>599</v>
      </c>
      <c r="H111" t="str">
        <f>IF('Scales Input Table'!O111&gt;0,'Scales Input Table'!O111,"")</f>
        <v>No</v>
      </c>
      <c r="I111" t="str">
        <f>IF('Scales Input Table'!P111&gt;0,'Scales Input Table'!P111,"")</f>
        <v>Monocoque</v>
      </c>
      <c r="J111" t="str">
        <f>IF('Scales Input Table'!Q111&gt;0,'Scales Input Table'!Q111,"")</f>
        <v>Full Package</v>
      </c>
      <c r="K111" t="str">
        <f>IF('Scales Input Table'!R111&gt;0,'Scales Input Table'!R111,"")</f>
        <v>13"</v>
      </c>
      <c r="L111">
        <f>IF('Scales Input Table'!S111&gt;0,'Scales Input Table'!S111,"")</f>
        <v>63</v>
      </c>
      <c r="M111" s="25" t="str">
        <f>_xlfn.XLOOKUP(Table2[[#This Row],[Car Number]],'Design Schedule'!$C$2:$C$121,'Design Schedule'!$B$2:$B$121)</f>
        <v>G</v>
      </c>
      <c r="N111" s="25" t="str">
        <f>_xlfn.XLOOKUP(Table2[[#This Row],[Car Number]],'Design Schedule'!$C$2:$C$121,'Design Schedule'!$A$2:$A$121)</f>
        <v>8:30AM</v>
      </c>
    </row>
    <row r="112" spans="1:14" x14ac:dyDescent="0.25">
      <c r="A112">
        <v>131</v>
      </c>
      <c r="B112" t="s">
        <v>181</v>
      </c>
      <c r="C112">
        <f>IF('Scales Input Table'!T112&gt;0,'Scales Input Table'!T112,"")</f>
        <v>322.95750399999997</v>
      </c>
      <c r="D112" s="7">
        <f>'Scales Input Table'!V112</f>
        <v>0.52115812917594651</v>
      </c>
      <c r="E112" s="7">
        <f>'Scales Input Table'!X112</f>
        <v>0.50556792873051226</v>
      </c>
      <c r="F112">
        <f>IF('Scales Input Table'!M112&gt;0,'Scales Input Table'!M112,"")</f>
        <v>4</v>
      </c>
      <c r="G112">
        <f>IF('Scales Input Table'!N112&gt;0,'Scales Input Table'!N112,"")</f>
        <v>600</v>
      </c>
      <c r="H112" t="str">
        <f>IF('Scales Input Table'!O112&gt;0,'Scales Input Table'!O112,"")</f>
        <v>Yes, Cooler</v>
      </c>
      <c r="I112" t="str">
        <f>IF('Scales Input Table'!P112&gt;0,'Scales Input Table'!P112,"")</f>
        <v>Tube Frame</v>
      </c>
      <c r="J112" t="str">
        <f>IF('Scales Input Table'!Q112&gt;0,'Scales Input Table'!Q112,"")</f>
        <v>None</v>
      </c>
      <c r="K112" t="str">
        <f>IF('Scales Input Table'!R112&gt;0,'Scales Input Table'!R112,"")</f>
        <v>13"</v>
      </c>
      <c r="L112">
        <f>IF('Scales Input Table'!S112&gt;0,'Scales Input Table'!S112,"")</f>
        <v>68.5</v>
      </c>
      <c r="M112" s="25" t="str">
        <f>_xlfn.XLOOKUP(Table2[[#This Row],[Car Number]],'Design Schedule'!$C$2:$C$121,'Design Schedule'!$B$2:$B$121)</f>
        <v>C</v>
      </c>
      <c r="N112" s="25" t="str">
        <f>_xlfn.XLOOKUP(Table2[[#This Row],[Car Number]],'Design Schedule'!$C$2:$C$121,'Design Schedule'!$A$2:$A$121)</f>
        <v>4:30PM</v>
      </c>
    </row>
    <row r="113" spans="1:14" x14ac:dyDescent="0.25">
      <c r="A113">
        <v>132</v>
      </c>
      <c r="B113" t="s">
        <v>45</v>
      </c>
      <c r="C113">
        <f>IF('Scales Input Table'!T113&gt;0,'Scales Input Table'!T113,"")</f>
        <v>212.73464799999999</v>
      </c>
      <c r="D113" s="7">
        <f>'Scales Input Table'!V113</f>
        <v>0.44444444444444442</v>
      </c>
      <c r="E113" s="7">
        <f>'Scales Input Table'!X113</f>
        <v>0.49608763693270735</v>
      </c>
      <c r="F113">
        <f>IF('Scales Input Table'!M113&gt;0,'Scales Input Table'!M113,"")</f>
        <v>4</v>
      </c>
      <c r="G113">
        <f>IF('Scales Input Table'!N113&gt;0,'Scales Input Table'!N113,"")</f>
        <v>599</v>
      </c>
      <c r="H113" t="str">
        <f>IF('Scales Input Table'!O113&gt;0,'Scales Input Table'!O113,"")</f>
        <v>No</v>
      </c>
      <c r="I113" t="str">
        <f>IF('Scales Input Table'!P113&gt;0,'Scales Input Table'!P113,"")</f>
        <v>Tube Frame</v>
      </c>
      <c r="J113" t="str">
        <f>IF('Scales Input Table'!Q113&gt;0,'Scales Input Table'!Q113,"")</f>
        <v>Wings Only</v>
      </c>
      <c r="K113" t="str">
        <f>IF('Scales Input Table'!R113&gt;0,'Scales Input Table'!R113,"")</f>
        <v>13"</v>
      </c>
      <c r="L113">
        <f>IF('Scales Input Table'!S113&gt;0,'Scales Input Table'!S113,"")</f>
        <v>63.464566929133859</v>
      </c>
      <c r="M113" s="25" t="str">
        <f>_xlfn.XLOOKUP(Table2[[#This Row],[Car Number]],'Design Schedule'!$C$2:$C$121,'Design Schedule'!$B$2:$B$121)</f>
        <v>J</v>
      </c>
      <c r="N113" s="25" t="str">
        <f>_xlfn.XLOOKUP(Table2[[#This Row],[Car Number]],'Design Schedule'!$C$2:$C$121,'Design Schedule'!$A$2:$A$121)</f>
        <v>10:30AM</v>
      </c>
    </row>
    <row r="114" spans="1:14" x14ac:dyDescent="0.25">
      <c r="A114">
        <v>139</v>
      </c>
      <c r="B114" t="s">
        <v>182</v>
      </c>
      <c r="C114">
        <f>IF('Scales Input Table'!T114&gt;0,'Scales Input Table'!T114,"")</f>
        <v>209.10591199999999</v>
      </c>
      <c r="D114" s="7">
        <f>'Scales Input Table'!V114</f>
        <v>0.49511400651465798</v>
      </c>
      <c r="E114" s="7">
        <f>'Scales Input Table'!X114</f>
        <v>0.49674267100977199</v>
      </c>
      <c r="F114">
        <f>IF('Scales Input Table'!M114&gt;0,'Scales Input Table'!M114,"")</f>
        <v>4</v>
      </c>
      <c r="G114">
        <f>IF('Scales Input Table'!N114&gt;0,'Scales Input Table'!N114,"")</f>
        <v>599</v>
      </c>
      <c r="H114" t="str">
        <f>IF('Scales Input Table'!O114&gt;0,'Scales Input Table'!O114,"")</f>
        <v>No</v>
      </c>
      <c r="I114" t="str">
        <f>IF('Scales Input Table'!P114&gt;0,'Scales Input Table'!P114,"")</f>
        <v>Tube Frame</v>
      </c>
      <c r="J114" t="str">
        <f>IF('Scales Input Table'!Q114&gt;0,'Scales Input Table'!Q114,"")</f>
        <v>Full Package</v>
      </c>
      <c r="K114" t="str">
        <f>IF('Scales Input Table'!R114&gt;0,'Scales Input Table'!R114,"")</f>
        <v>10"</v>
      </c>
      <c r="L114">
        <f>IF('Scales Input Table'!S114&gt;0,'Scales Input Table'!S114,"")</f>
        <v>60.629921259842526</v>
      </c>
      <c r="M114" s="25" t="str">
        <f>_xlfn.XLOOKUP(Table2[[#This Row],[Car Number]],'Design Schedule'!$C$2:$C$121,'Design Schedule'!$B$2:$B$121)</f>
        <v>J</v>
      </c>
      <c r="N114" s="25" t="str">
        <f>_xlfn.XLOOKUP(Table2[[#This Row],[Car Number]],'Design Schedule'!$C$2:$C$121,'Design Schedule'!$A$2:$A$121)</f>
        <v>1:30PM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Summary Sheet</vt:lpstr>
      <vt:lpstr>Scales Input Table</vt:lpstr>
      <vt:lpstr>Label Creation</vt:lpstr>
      <vt:lpstr>Design Schedule</vt:lpstr>
      <vt:lpstr>Dropdown sheet - DO NOT EDIT</vt:lpstr>
      <vt:lpstr>LOOKUP TABLE - DO NOT EDIT</vt:lpstr>
      <vt:lpstr>Summary Statistics and Graphs</vt:lpstr>
      <vt:lpstr>Sheet4</vt:lpstr>
      <vt:lpstr>Export Sheet</vt:lpstr>
      <vt:lpstr>Scales_Input_Table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ABHW</dc:creator>
  <cp:lastModifiedBy>Worthington, Alton</cp:lastModifiedBy>
  <dcterms:created xsi:type="dcterms:W3CDTF">2018-05-09T02:13:46Z</dcterms:created>
  <dcterms:modified xsi:type="dcterms:W3CDTF">2026-05-07T00:16:53Z</dcterms:modified>
</cp:coreProperties>
</file>